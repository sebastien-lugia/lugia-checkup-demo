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Pipeline" sheetId="2" state="visible" r:id="rId4"/>
    <sheet name="Scoring" sheetId="3" state="visible" r:id="rId5"/>
    <sheet name="Activités" sheetId="4" state="visible" r:id="rId6"/>
    <sheet name="Métriqu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<sst xmlns="http://schemas.openxmlformats.org/spreadsheetml/2006/main" count="219" uniqueCount="185">
  <si>
    <t xml:space="preserve">PILOTE MÉDICAL · QUALIFICATION &amp; SUIVI</t>
  </si>
  <si>
    <t xml:space="preserve">Outil de gestion du pipeline pilote</t>
  </si>
  <si>
    <t xml:space="preserve">Cet outil sert à identifier, qualifier et suivre les médecins libéraux engagés (ou en cours d'engagement) dans le pilote Lugia. Il est partageable avec le collectif Lugia &amp; Co.</t>
  </si>
  <si>
    <t xml:space="preserve">STRUCTURE DU CLASSEUR</t>
  </si>
  <si>
    <t xml:space="preserve">1 · Pipeline</t>
  </si>
  <si>
    <t xml:space="preserve">Un lead par ligne, suivi du stade dans le funnel (1 à 8), prochaine action, owner.</t>
  </si>
  <si>
    <t xml:space="preserve">2 · Scoring</t>
  </si>
  <si>
    <t xml:space="preserve">Grille de qualification : 3 familles de critères pondérées, notation 0-5 par critère, score total automatique.</t>
  </si>
  <si>
    <t xml:space="preserve">3 · Activités</t>
  </si>
  <si>
    <t xml:space="preserve">Journal chronologique d'événements (email, appel, RDV, démo, restitution, chantier…).</t>
  </si>
  <si>
    <t xml:space="preserve">4 · Métriques</t>
  </si>
  <si>
    <t xml:space="preserve">Tableau de bord : leads par stade, conversions, sources, score moyen.</t>
  </si>
  <si>
    <t xml:space="preserve">FUNNEL — 8 STADES</t>
  </si>
  <si>
    <t xml:space="preserve">1 · Identifié  —  Signal initial, pas encore contacté.</t>
  </si>
  <si>
    <t xml:space="preserve">2 · Contacté  —  Premier contact établi, attente réponse.</t>
  </si>
  <si>
    <t xml:space="preserve">3 · Intéressé  —  A manifesté de l'intérêt, prêt à explorer.</t>
  </si>
  <si>
    <t xml:space="preserve">4 · Diagnostic complété  —  A complété le questionnaire de diagnostic gratuit.</t>
  </si>
  <si>
    <t xml:space="preserve">5 · Restitution faite  —  Score, schéma et chantiers présentés et discutés.</t>
  </si>
  <si>
    <t xml:space="preserve">6 · Pilote engagé  —  Accord pour le pilote, démarrage planifié.</t>
  </si>
  <si>
    <t xml:space="preserve">7 · Chantier en cours  —  Au moins un chantier actif sur le terrain.</t>
  </si>
  <si>
    <t xml:space="preserve">8 · Référence formalisée  —  Témoignage, mention publique, parrainage actif.</t>
  </si>
  <si>
    <t xml:space="preserve">LECTURE DU SCORE</t>
  </si>
  <si>
    <t xml:space="preserve">Score ≥ 70   ·   Lead à prioriser pour le pilote</t>
  </si>
  <si>
    <t xml:space="preserve">Score 50-69  ·   À nourrir (cas-d'usage, contenu, parrainage)</t>
  </si>
  <si>
    <t xml:space="preserve">Score &lt; 50   ·   Différer ou requalifier</t>
  </si>
  <si>
    <t xml:space="preserve">CHARTE COULEURS — palette Lugia stricte : Navy, Ivory, Argent, Ambre. Pas de rouge, pas de vert. Tags de stade et score utilisent uniquement ces couleurs.</t>
  </si>
  <si>
    <t xml:space="preserve">Version 1.0 · Mai 2026 · Document de travail — Usage interne Lugia &amp; Co</t>
  </si>
  <si>
    <t xml:space="preserve">ID</t>
  </si>
  <si>
    <t xml:space="preserve">Nom du contact</t>
  </si>
  <si>
    <t xml:space="preserve">Cabinet / Structure</t>
  </si>
  <si>
    <t xml:space="preserve">Spécialité</t>
  </si>
  <si>
    <t xml:space="preserve">Mode d'exercice</t>
  </si>
  <si>
    <t xml:space="preserve">Ville</t>
  </si>
  <si>
    <t xml:space="preserve">Département</t>
  </si>
  <si>
    <t xml:space="preserve">Source</t>
  </si>
  <si>
    <t xml:space="preserve">Date identification</t>
  </si>
  <si>
    <t xml:space="preserve">Stade</t>
  </si>
  <si>
    <t xml:space="preserve">Score qualif /100</t>
  </si>
  <si>
    <t xml:space="preserve">Date dernier contact</t>
  </si>
  <si>
    <t xml:space="preserve">Prochaine action</t>
  </si>
  <si>
    <t xml:space="preserve">Date prochaine action</t>
  </si>
  <si>
    <t xml:space="preserve">Owner</t>
  </si>
  <si>
    <t xml:space="preserve">Notes</t>
  </si>
  <si>
    <t xml:space="preserve">P001</t>
  </si>
  <si>
    <t xml:space="preserve">Dr. Marie Lemaire</t>
  </si>
  <si>
    <t xml:space="preserve">Cabinet Place Carnot</t>
  </si>
  <si>
    <t xml:space="preserve">Généraliste</t>
  </si>
  <si>
    <t xml:space="preserve">Groupe</t>
  </si>
  <si>
    <t xml:space="preserve">Lyon 2e</t>
  </si>
  <si>
    <t xml:space="preserve">69</t>
  </si>
  <si>
    <t xml:space="preserve">URPS</t>
  </si>
  <si>
    <t xml:space="preserve">2026-05-12</t>
  </si>
  <si>
    <t xml:space="preserve">5 · Restitution faite</t>
  </si>
  <si>
    <t xml:space="preserve">2026-05-22</t>
  </si>
  <si>
    <t xml:space="preserve">Proposer signature pilote (3 chantiers)</t>
  </si>
  <si>
    <t xml:space="preserve">2026-05-28</t>
  </si>
  <si>
    <t xml:space="preserve">Sébastien</t>
  </si>
  <si>
    <t xml:space="preserve">Très engagée URPS, 12 ans installée, forte douleur conformité</t>
  </si>
  <si>
    <t xml:space="preserve">P002</t>
  </si>
  <si>
    <t xml:space="preserve">Dr. Antoine Roussel</t>
  </si>
  <si>
    <t xml:space="preserve">MSP de Villeurbanne Sud</t>
  </si>
  <si>
    <t xml:space="preserve">MSP</t>
  </si>
  <si>
    <t xml:space="preserve">Villeurbanne</t>
  </si>
  <si>
    <t xml:space="preserve">Parrainage</t>
  </si>
  <si>
    <t xml:space="preserve">2026-05-15</t>
  </si>
  <si>
    <t xml:space="preserve">3 · Intéressé</t>
  </si>
  <si>
    <t xml:space="preserve">2026-05-24</t>
  </si>
  <si>
    <t xml:space="preserve">Envoyer lien diagnostic + appel cadrage</t>
  </si>
  <si>
    <t xml:space="preserve">2026-05-30</t>
  </si>
  <si>
    <t xml:space="preserve">Coordinateur MSP, 8 praticiens, intéressé par la conformité collective</t>
  </si>
  <si>
    <t xml:space="preserve">P003</t>
  </si>
  <si>
    <t xml:space="preserve">Dr. Camille Bonnet</t>
  </si>
  <si>
    <t xml:space="preserve">Cabinet Cévennes</t>
  </si>
  <si>
    <t xml:space="preserve">Solo</t>
  </si>
  <si>
    <t xml:space="preserve">Saint-Étienne</t>
  </si>
  <si>
    <t xml:space="preserve">42</t>
  </si>
  <si>
    <t xml:space="preserve">Congrès</t>
  </si>
  <si>
    <t xml:space="preserve">2026-05-18</t>
  </si>
  <si>
    <t xml:space="preserve">1 · Identifié</t>
  </si>
  <si>
    <t xml:space="preserve">Premier contact à initier</t>
  </si>
  <si>
    <t xml:space="preserve">2026-05-29</t>
  </si>
  <si>
    <t xml:space="preserve">Collectif</t>
  </si>
  <si>
    <t xml:space="preserve">Rencontrée à CMGF, profil junior, à explorer</t>
  </si>
  <si>
    <t xml:space="preserve">SCORING DE QUALIFICATION</t>
  </si>
  <si>
    <t xml:space="preserve">3 familles · 13 critères · notation 0-5</t>
  </si>
  <si>
    <t xml:space="preserve">Ajustez les pondérations en ligne 5 (somme = 100). Les sous-totaux et le score total sont calculés automatiquement.</t>
  </si>
  <si>
    <t xml:space="preserve">Pondération Famille A</t>
  </si>
  <si>
    <t xml:space="preserve">Pondération Famille B</t>
  </si>
  <si>
    <t xml:space="preserve">Pondération Famille C</t>
  </si>
  <si>
    <t xml:space="preserve">(somme = 100% requis)</t>
  </si>
  <si>
    <t xml:space="preserve">Lead (depuis Pipeline)</t>
  </si>
  <si>
    <t xml:space="preserve">A1 · Charge admin</t>
  </si>
  <si>
    <t xml:space="preserve">A2 · Conformité anxiogène</t>
  </si>
  <si>
    <t xml:space="preserve">A3 · IA informelle</t>
  </si>
  <si>
    <t xml:space="preserve">A4 · Maturité num.</t>
  </si>
  <si>
    <t xml:space="preserve">A5 · Ouverture WSF</t>
  </si>
  <si>
    <t xml:space="preserve">ΣA / 25</t>
  </si>
  <si>
    <t xml:space="preserve">B1 · Engagement URPS/CPTS</t>
  </si>
  <si>
    <t xml:space="preserve">B2 · Réseau confrères</t>
  </si>
  <si>
    <t xml:space="preserve">B3 · Crédibilité territoire</t>
  </si>
  <si>
    <t xml:space="preserve">B4 · Volonté parrainer</t>
  </si>
  <si>
    <t xml:space="preserve">ΣB / 20</t>
  </si>
  <si>
    <t xml:space="preserve">C1 · Temps disponible</t>
  </si>
  <si>
    <t xml:space="preserve">C2 · Accord feedback</t>
  </si>
  <si>
    <t xml:space="preserve">C3 · Accord mention publique</t>
  </si>
  <si>
    <t xml:space="preserve">C4 · Référent équipe</t>
  </si>
  <si>
    <t xml:space="preserve">ΣC / 20</t>
  </si>
  <si>
    <t xml:space="preserve">Score /100</t>
  </si>
  <si>
    <t xml:space="preserve">RÉFÉRENTIEL DES CRITÈRES</t>
  </si>
  <si>
    <t xml:space="preserve">Famille A — Maturité &amp; douleur (poids 35%)</t>
  </si>
  <si>
    <t xml:space="preserve">A1 · Charge admin perçue</t>
  </si>
  <si>
    <t xml:space="preserve">0 = aucune douleur · 5 = douleur majeure exprimée spontanément</t>
  </si>
  <si>
    <t xml:space="preserve">0 = pas un sujet · 5 = anxiété forte RGPD/AI Act/HDS</t>
  </si>
  <si>
    <t xml:space="preserve">A3 · Usage informel d'IA</t>
  </si>
  <si>
    <t xml:space="preserve">0 = aucun · 5 = usage régulier de ChatGPT/Copilot sans cadre</t>
  </si>
  <si>
    <t xml:space="preserve">A4 · Maturité numérique</t>
  </si>
  <si>
    <t xml:space="preserve">0 = DPI minimal · 5 = équipé moderne, ouvert aux outils</t>
  </si>
  <si>
    <t xml:space="preserve">A5 · Ouverture au sujet 'système de travail'</t>
  </si>
  <si>
    <t xml:space="preserve">0 = rejet · 5 = formule lui-même le besoin</t>
  </si>
  <si>
    <t xml:space="preserve">Famille B — Position réseau &amp; influence (poids 30%)</t>
  </si>
  <si>
    <t xml:space="preserve">B1 · Engagement URPS / CPTS / syndicat</t>
  </si>
  <si>
    <t xml:space="preserve">0 = aucun · 5 = rôle actif ou élu</t>
  </si>
  <si>
    <t xml:space="preserve">B2 · Réseau confrères actif</t>
  </si>
  <si>
    <t xml:space="preserve">0 = isolé · 5 = recommandation régulière entre pairs</t>
  </si>
  <si>
    <t xml:space="preserve">B3 · Crédibilité dans son territoire</t>
  </si>
  <si>
    <t xml:space="preserve">0 = inconnu · 5 = référent local (formation, presse, ordre)</t>
  </si>
  <si>
    <t xml:space="preserve">B4 · Volonté de parrainer</t>
  </si>
  <si>
    <t xml:space="preserve">0 = refus · 5 = accord explicite + liste de confrères</t>
  </si>
  <si>
    <t xml:space="preserve">Famille C — Faisabilité opérationnelle pilote (poids 35%)</t>
  </si>
  <si>
    <t xml:space="preserve">0 = aucun · 5 = 2h+/sem dédiées au pilote</t>
  </si>
  <si>
    <t xml:space="preserve">C2 · Accord de principe partage feedback</t>
  </si>
  <si>
    <t xml:space="preserve">0 = refus · 5 = engagement écrit</t>
  </si>
  <si>
    <t xml:space="preserve">C3 · Accord mention publique référence</t>
  </si>
  <si>
    <t xml:space="preserve">0 = refus · 5 = accepte témoignage + nom + photo</t>
  </si>
  <si>
    <t xml:space="preserve">C4 · Présence d'un référent équipe</t>
  </si>
  <si>
    <t xml:space="preserve">0 = aucun · 5 = secrétaire ou associé dédié identifié</t>
  </si>
  <si>
    <t xml:space="preserve">Date</t>
  </si>
  <si>
    <t xml:space="preserve">ID lead</t>
  </si>
  <si>
    <t xml:space="preserve">Lead</t>
  </si>
  <si>
    <t xml:space="preserve">Type</t>
  </si>
  <si>
    <t xml:space="preserve">Résumé</t>
  </si>
  <si>
    <t xml:space="preserve">Auteur</t>
  </si>
  <si>
    <t xml:space="preserve">Email</t>
  </si>
  <si>
    <t xml:space="preserve">Premier email d'introduction via URPS Rhône-Alpes</t>
  </si>
  <si>
    <t xml:space="preserve">Appel</t>
  </si>
  <si>
    <t xml:space="preserve">Cadrage 30 min, ouverture sur la charge admin et le RGPD</t>
  </si>
  <si>
    <t xml:space="preserve">2026-05-20</t>
  </si>
  <si>
    <t xml:space="preserve">Diagnostic</t>
  </si>
  <si>
    <t xml:space="preserve">Diagnostic complété en ligne, 18 min, score 72/100</t>
  </si>
  <si>
    <t xml:space="preserve">Marie Lemaire</t>
  </si>
  <si>
    <t xml:space="preserve">Restitution</t>
  </si>
  <si>
    <t xml:space="preserve">Restitution en visio, focus 2 chantiers prioritaires (RGPD + AI notice)</t>
  </si>
  <si>
    <t xml:space="preserve">Lien diagnostic envoyé après recommandation Marie Lemaire</t>
  </si>
  <si>
    <t xml:space="preserve">RDV</t>
  </si>
  <si>
    <t xml:space="preserve">Rencontre stand CMGF, profil junior intéressée, suite à initier</t>
  </si>
  <si>
    <t xml:space="preserve">TABLEAU DE BORD PILOTE</t>
  </si>
  <si>
    <t xml:space="preserve">Métriques du pipeline</t>
  </si>
  <si>
    <t xml:space="preserve">Mise à jour automatique depuis l'onglet Pipeline.</t>
  </si>
  <si>
    <t xml:space="preserve">1 · FUNNEL</t>
  </si>
  <si>
    <t xml:space="preserve">Nb leads</t>
  </si>
  <si>
    <t xml:space="preserve">% du total</t>
  </si>
  <si>
    <t xml:space="preserve">Conversion stade précédent</t>
  </si>
  <si>
    <t xml:space="preserve">—</t>
  </si>
  <si>
    <t xml:space="preserve">2 · Contacté</t>
  </si>
  <si>
    <t xml:space="preserve">4 · Diagnostic complété</t>
  </si>
  <si>
    <t xml:space="preserve">6 · Pilote engagé</t>
  </si>
  <si>
    <t xml:space="preserve">7 · Chantier en cours</t>
  </si>
  <si>
    <t xml:space="preserve">8 · Référence formalisée</t>
  </si>
  <si>
    <t xml:space="preserve">TOTAL</t>
  </si>
  <si>
    <t xml:space="preserve">2 · SCORE</t>
  </si>
  <si>
    <t xml:space="preserve">Score moyen</t>
  </si>
  <si>
    <t xml:space="preserve">Score médian</t>
  </si>
  <si>
    <t xml:space="preserve">Leads ≥ 70 (prioritaires)</t>
  </si>
  <si>
    <t xml:space="preserve">Leads 50-69 (à nourrir)</t>
  </si>
  <si>
    <t xml:space="preserve">Leads &lt; 50 (à différer)</t>
  </si>
  <si>
    <t xml:space="preserve">3 · SOURCES</t>
  </si>
  <si>
    <t xml:space="preserve">LinkedIn</t>
  </si>
  <si>
    <t xml:space="preserve">Site web</t>
  </si>
  <si>
    <t xml:space="preserve">Contact direct</t>
  </si>
  <si>
    <t xml:space="preserve">Assureur RCP</t>
  </si>
  <si>
    <t xml:space="preserve">Autre</t>
  </si>
  <si>
    <t xml:space="preserve">4 · MODES D'EXERCICE</t>
  </si>
  <si>
    <t xml:space="preserve">CPTS</t>
  </si>
  <si>
    <t xml:space="preserve">Salariat partiel</t>
  </si>
  <si>
    <t xml:space="preserve">Note : les conversions de stade sont calculées comme "% du stade précédent" (lecture en cohorte « gross »). Pour une vraie analyse temporelle (cohortes mensuelles, vélocité), prévoir un onglet dédié en V2.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</si>
</sst>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%"/>
    <numFmt numFmtId="167" formatCode="0.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7A6030"/>
      <name val="Consolas"/>
      <family val="0"/>
      <charset val="1"/>
    </font>
    <font>
      <b val="true"/>
      <sz val="20"/>
      <color rgb="FF1A2333"/>
      <name val="Georgia"/>
      <family val="0"/>
      <charset val="1"/>
    </font>
    <font>
      <sz val="10.5"/>
      <color rgb="FF3A4360"/>
      <name val="Arial"/>
      <family val="0"/>
      <charset val="1"/>
    </font>
    <font>
      <b val="true"/>
      <sz val="8"/>
      <color rgb="FF6E7795"/>
      <name val="Consolas"/>
      <family val="0"/>
      <charset val="1"/>
    </font>
    <font>
      <b val="true"/>
      <sz val="10.5"/>
      <color rgb="FF1A2333"/>
      <name val="Arial"/>
      <family val="0"/>
      <charset val="1"/>
    </font>
    <font>
      <sz val="9.5"/>
      <color rgb="FF3A4360"/>
      <name val="Arial"/>
      <family val="0"/>
      <charset val="1"/>
    </font>
    <font>
      <b val="true"/>
      <sz val="10"/>
      <color rgb="FF1A2333"/>
      <name val="Arial"/>
      <family val="0"/>
      <charset val="1"/>
    </font>
    <font>
      <b val="true"/>
      <sz val="10"/>
      <color rgb="FF7A6030"/>
      <name val="Arial"/>
      <family val="0"/>
      <charset val="1"/>
    </font>
    <font>
      <b val="true"/>
      <sz val="10"/>
      <color rgb="FF6E7795"/>
      <name val="Arial"/>
      <family val="0"/>
      <charset val="1"/>
    </font>
    <font>
      <sz val="9"/>
      <color rgb="FF3A4360"/>
      <name val="Arial"/>
      <family val="0"/>
      <charset val="1"/>
    </font>
    <font>
      <sz val="8"/>
      <color rgb="FF95A0B3"/>
      <name val="Consolas"/>
      <family val="0"/>
      <charset val="1"/>
    </font>
    <font>
      <b val="true"/>
      <sz val="9"/>
      <color rgb="FFF4EFE5"/>
      <name val="Arial"/>
      <family val="0"/>
      <charset val="1"/>
    </font>
    <font>
      <sz val="9.5"/>
      <color rgb="FF3A4360"/>
      <name val="Consolas"/>
      <family val="0"/>
      <charset val="1"/>
    </font>
    <font>
      <sz val="10"/>
      <color rgb="FF3A4360"/>
      <name val="Arial"/>
      <family val="0"/>
      <charset val="1"/>
    </font>
    <font>
      <b val="true"/>
      <sz val="10"/>
      <color rgb="FF1A2333"/>
      <name val="Consolas"/>
      <family val="0"/>
      <charset val="1"/>
    </font>
    <font>
      <b val="true"/>
      <sz val="8"/>
      <color rgb="FF7A6030"/>
      <name val="Consolas"/>
      <family val="0"/>
      <charset val="1"/>
    </font>
    <font>
      <b val="true"/>
      <sz val="16"/>
      <color rgb="FF1A2333"/>
      <name val="Georgia"/>
      <family val="0"/>
      <charset val="1"/>
    </font>
    <font>
      <sz val="8"/>
      <color rgb="FF6E7795"/>
      <name val="Consolas"/>
      <family val="0"/>
      <charset val="1"/>
    </font>
    <font>
      <b val="true"/>
      <sz val="11"/>
      <color rgb="FF1A2333"/>
      <name val="Arial"/>
      <family val="0"/>
      <charset val="1"/>
    </font>
    <font>
      <sz val="9.5"/>
      <color rgb="FF6E7795"/>
      <name val="Consolas"/>
      <family val="0"/>
      <charset val="1"/>
    </font>
    <font>
      <sz val="10"/>
      <color rgb="FF3A4360"/>
      <name val="Consolas"/>
      <family val="0"/>
      <charset val="1"/>
    </font>
    <font>
      <b val="true"/>
      <sz val="11"/>
      <color rgb="FF1A2333"/>
      <name val="Consolas"/>
      <family val="0"/>
      <charset val="1"/>
    </font>
    <font>
      <b val="true"/>
      <sz val="10.5"/>
      <color rgb="FF7A6030"/>
      <name val="Arial"/>
      <family val="0"/>
      <charset val="1"/>
    </font>
    <font>
      <b val="true"/>
      <sz val="9.5"/>
      <color rgb="FF1A2333"/>
      <name val="Arial"/>
      <family val="0"/>
      <charset val="1"/>
    </font>
    <font>
      <b val="true"/>
      <sz val="18"/>
      <color rgb="FF1A2333"/>
      <name val="Georgia"/>
      <family val="0"/>
      <charset val="1"/>
    </font>
    <font>
      <b val="true"/>
      <sz val="12"/>
      <color rgb="FF1A2333"/>
      <name val="Consolas"/>
      <family val="0"/>
      <charset val="1"/>
    </font>
    <font>
      <sz val="8.5"/>
      <color rgb="FF3A436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2333"/>
        <bgColor rgb="FF333300"/>
      </patternFill>
    </fill>
    <fill>
      <patternFill patternType="solid">
        <fgColor rgb="FFFBFAF6"/>
        <bgColor rgb="FFF4EFE5"/>
      </patternFill>
    </fill>
    <fill>
      <patternFill patternType="solid">
        <fgColor rgb="FFF0E8D5"/>
        <bgColor rgb="FFF4EFE5"/>
      </patternFill>
    </fill>
    <fill>
      <patternFill patternType="solid">
        <fgColor rgb="FFF4EFE5"/>
        <bgColor rgb="FFF0E8D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>
        <color rgb="FFBFC4CC"/>
      </left>
      <right style="hair">
        <color rgb="FFBFC4CC"/>
      </right>
      <top style="thin">
        <color rgb="FFBFC4CC"/>
      </top>
      <bottom style="thin">
        <color rgb="FFBFC4CC"/>
      </bottom>
      <diagonal/>
    </border>
    <border diagonalUp="false" diagonalDown="false">
      <left/>
      <right/>
      <top/>
      <bottom style="hair">
        <color rgb="FFBFC4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Consolas"/>
        <charset val="1"/>
        <family val="0"/>
        <b val="1"/>
        <color rgb="FFF4EFE5"/>
        <sz val="10"/>
      </font>
      <fill>
        <patternFill>
          <bgColor rgb="FF1A2333"/>
        </patternFill>
      </fill>
    </dxf>
    <dxf>
      <font>
        <name val="Consolas"/>
        <charset val="1"/>
        <family val="0"/>
        <b val="1"/>
        <color rgb="FFF4EFE5"/>
        <sz val="10"/>
      </font>
      <fill>
        <patternFill>
          <bgColor rgb="FF7A6030"/>
        </patternFill>
      </fill>
    </dxf>
    <dxf>
      <font>
        <name val="Consolas"/>
        <charset val="1"/>
        <family val="0"/>
        <b val="1"/>
        <color rgb="FF3A4360"/>
        <sz val="10"/>
      </font>
      <fill>
        <patternFill>
          <bgColor rgb="FFD4D4D6"/>
        </patternFill>
      </fill>
    </dxf>
    <dxf>
      <font>
        <name val="Consolas"/>
        <charset val="1"/>
        <family val="0"/>
        <b val="1"/>
        <color rgb="FFF4EFE5"/>
        <sz val="11"/>
      </font>
      <fill>
        <patternFill>
          <bgColor rgb="FF1A2333"/>
        </patternFill>
      </fill>
    </dxf>
    <dxf>
      <font>
        <name val="Consolas"/>
        <charset val="1"/>
        <family val="0"/>
        <b val="1"/>
        <color rgb="FFF4EFE5"/>
        <sz val="11"/>
      </font>
      <fill>
        <patternFill>
          <bgColor rgb="FF7A6030"/>
        </patternFill>
      </fill>
    </dxf>
    <dxf>
      <font>
        <name val="Consolas"/>
        <charset val="1"/>
        <family val="0"/>
        <b val="1"/>
        <color rgb="FF3A4360"/>
        <sz val="11"/>
      </font>
      <fill>
        <patternFill>
          <bgColor rgb="FFD4D4D6"/>
        </patternFill>
      </fill>
    </dxf>
  </dxfs>
  <colors>
    <indexedColors>
      <rgbColor rgb="FF000000"/>
      <rgbColor rgb="FFFBFA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6030"/>
      <rgbColor rgb="FF800080"/>
      <rgbColor rgb="FF008080"/>
      <rgbColor rgb="FFBFC4CC"/>
      <rgbColor rgb="FF808080"/>
      <rgbColor rgb="FF9999FF"/>
      <rgbColor rgb="FF993366"/>
      <rgbColor rgb="FFF4EFE5"/>
      <rgbColor rgb="FFCCFFFF"/>
      <rgbColor rgb="FF660066"/>
      <rgbColor rgb="FFFF8080"/>
      <rgbColor rgb="FF0066CC"/>
      <rgbColor rgb="FFD4D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0E8D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7795"/>
      <rgbColor rgb="FF95A0B3"/>
      <rgbColor rgb="FF003366"/>
      <rgbColor rgb="FF339966"/>
      <rgbColor rgb="FF003300"/>
      <rgbColor rgb="FF333300"/>
      <rgbColor rgb="FF993300"/>
      <rgbColor rgb="FF993366"/>
      <rgbColor rgb="FF3A4360"/>
      <rgbColor rgb="FF1A2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2" customFormat="false" ht="15" hidden="false" customHeight="false" outlineLevel="0" collapsed="false">
      <c r="B2" s="1" t="s">
        <v>0</v>
      </c>
    </row>
    <row r="3" customFormat="false" ht="24.45" hidden="false" customHeight="false" outlineLevel="0" collapsed="false">
      <c r="B3" s="2" t="s">
        <v>1</v>
      </c>
    </row>
    <row r="5" customFormat="false" ht="25.35" hidden="false" customHeight="false" outlineLevel="0" collapsed="false">
      <c r="B5" s="3" t="s">
        <v>2</v>
      </c>
    </row>
    <row r="7" customFormat="false" ht="15" hidden="false" customHeight="false" outlineLevel="0" collapsed="false">
      <c r="B7" s="4" t="s">
        <v>3</v>
      </c>
    </row>
    <row r="9" customFormat="false" ht="15" hidden="false" customHeight="false" outlineLevel="0" collapsed="false">
      <c r="B9" s="5" t="s">
        <v>4</v>
      </c>
    </row>
    <row r="10" customFormat="false" ht="15" hidden="false" customHeight="false" outlineLevel="0" collapsed="false">
      <c r="B10" s="6" t="s">
        <v>5</v>
      </c>
    </row>
    <row r="12" customFormat="false" ht="15" hidden="false" customHeight="false" outlineLevel="0" collapsed="false">
      <c r="B12" s="5" t="s">
        <v>6</v>
      </c>
    </row>
    <row r="13" customFormat="false" ht="15" hidden="false" customHeight="false" outlineLevel="0" collapsed="false">
      <c r="B13" s="6" t="s">
        <v>7</v>
      </c>
    </row>
    <row r="15" customFormat="false" ht="15" hidden="false" customHeight="false" outlineLevel="0" collapsed="false">
      <c r="B15" s="5" t="s">
        <v>8</v>
      </c>
    </row>
    <row r="16" customFormat="false" ht="15" hidden="false" customHeight="false" outlineLevel="0" collapsed="false">
      <c r="B16" s="6" t="s">
        <v>9</v>
      </c>
    </row>
    <row r="18" customFormat="false" ht="15" hidden="false" customHeight="false" outlineLevel="0" collapsed="false">
      <c r="B18" s="5" t="s">
        <v>10</v>
      </c>
    </row>
    <row r="19" customFormat="false" ht="15" hidden="false" customHeight="false" outlineLevel="0" collapsed="false">
      <c r="B19" s="6" t="s">
        <v>11</v>
      </c>
    </row>
    <row r="22" customFormat="false" ht="15" hidden="false" customHeight="false" outlineLevel="0" collapsed="false">
      <c r="B22" s="4" t="s">
        <v>12</v>
      </c>
    </row>
    <row r="24" customFormat="false" ht="15" hidden="false" customHeight="false" outlineLevel="0" collapsed="false">
      <c r="B24" s="6" t="s">
        <v>13</v>
      </c>
    </row>
    <row r="25" customFormat="false" ht="15" hidden="false" customHeight="false" outlineLevel="0" collapsed="false">
      <c r="B25" s="6" t="s">
        <v>14</v>
      </c>
    </row>
    <row r="26" customFormat="false" ht="15" hidden="false" customHeight="false" outlineLevel="0" collapsed="false">
      <c r="B26" s="6" t="s">
        <v>15</v>
      </c>
    </row>
    <row r="27" customFormat="false" ht="15" hidden="false" customHeight="false" outlineLevel="0" collapsed="false">
      <c r="B27" s="6" t="s">
        <v>16</v>
      </c>
    </row>
    <row r="28" customFormat="false" ht="15" hidden="false" customHeight="false" outlineLevel="0" collapsed="false">
      <c r="B28" s="6" t="s">
        <v>17</v>
      </c>
    </row>
    <row r="29" customFormat="false" ht="15" hidden="false" customHeight="false" outlineLevel="0" collapsed="false">
      <c r="B29" s="6" t="s">
        <v>18</v>
      </c>
    </row>
    <row r="30" customFormat="false" ht="15" hidden="false" customHeight="false" outlineLevel="0" collapsed="false">
      <c r="B30" s="6" t="s">
        <v>19</v>
      </c>
    </row>
    <row r="31" customFormat="false" ht="15" hidden="false" customHeight="false" outlineLevel="0" collapsed="false">
      <c r="B31" s="6" t="s">
        <v>20</v>
      </c>
    </row>
    <row r="34" customFormat="false" ht="15" hidden="false" customHeight="false" outlineLevel="0" collapsed="false">
      <c r="B34" s="4" t="s">
        <v>21</v>
      </c>
    </row>
    <row r="36" customFormat="false" ht="15" hidden="false" customHeight="false" outlineLevel="0" collapsed="false">
      <c r="B36" s="7" t="s">
        <v>22</v>
      </c>
    </row>
    <row r="37" customFormat="false" ht="15" hidden="false" customHeight="false" outlineLevel="0" collapsed="false">
      <c r="B37" s="8" t="s">
        <v>23</v>
      </c>
    </row>
    <row r="38" customFormat="false" ht="15" hidden="false" customHeight="false" outlineLevel="0" collapsed="false">
      <c r="B38" s="9" t="s">
        <v>24</v>
      </c>
    </row>
    <row r="41" customFormat="false" ht="22.35" hidden="false" customHeight="false" outlineLevel="0" collapsed="false">
      <c r="B41" s="10" t="s">
        <v>25</v>
      </c>
    </row>
    <row r="44" customFormat="false" ht="15" hidden="false" customHeight="false" outlineLevel="0" collapsed="false">
      <c r="B44" s="11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6" min="5" style="0" width="14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4" min="14" style="0" width="13"/>
    <col collapsed="false" customWidth="true" hidden="false" outlineLevel="0" max="15" min="15" style="0" width="14"/>
    <col collapsed="false" customWidth="true" hidden="false" outlineLevel="0" max="16" min="16" style="0" width="36"/>
  </cols>
  <sheetData>
    <row r="1" customFormat="false" ht="27.75" hidden="false" customHeight="true" outlineLevel="0" collapsed="false">
      <c r="A1" s="12" t="s">
        <v>27</v>
      </c>
      <c r="B1" s="12" t="s">
        <v>28</v>
      </c>
      <c r="C1" s="12" t="s">
        <v>29</v>
      </c>
      <c r="D1" s="12" t="s">
        <v>30</v>
      </c>
      <c r="E1" s="12" t="s">
        <v>31</v>
      </c>
      <c r="F1" s="12" t="s">
        <v>32</v>
      </c>
      <c r="G1" s="12" t="s">
        <v>33</v>
      </c>
      <c r="H1" s="12" t="s">
        <v>34</v>
      </c>
      <c r="I1" s="12" t="s">
        <v>35</v>
      </c>
      <c r="J1" s="12" t="s">
        <v>36</v>
      </c>
      <c r="K1" s="12" t="s">
        <v>37</v>
      </c>
      <c r="L1" s="12" t="s">
        <v>38</v>
      </c>
      <c r="M1" s="12" t="s">
        <v>39</v>
      </c>
      <c r="N1" s="12" t="s">
        <v>40</v>
      </c>
      <c r="O1" s="12" t="s">
        <v>41</v>
      </c>
      <c r="P1" s="12" t="s">
        <v>42</v>
      </c>
    </row>
    <row r="2" customFormat="false" ht="30" hidden="false" customHeight="true" outlineLevel="0" collapsed="false">
      <c r="A2" s="13" t="s">
        <v>43</v>
      </c>
      <c r="B2" s="14" t="s">
        <v>44</v>
      </c>
      <c r="C2" s="14" t="s">
        <v>45</v>
      </c>
      <c r="D2" s="14" t="s">
        <v>46</v>
      </c>
      <c r="E2" s="14" t="s">
        <v>47</v>
      </c>
      <c r="F2" s="14" t="s">
        <v>48</v>
      </c>
      <c r="G2" s="13" t="s">
        <v>49</v>
      </c>
      <c r="H2" s="14" t="s">
        <v>50</v>
      </c>
      <c r="I2" s="14" t="s">
        <v>51</v>
      </c>
      <c r="J2" s="14" t="s">
        <v>52</v>
      </c>
      <c r="K2" s="15" t="n">
        <f aca="false">IFERROR(VLOOKUP(A2,Scoring!$B$8:$T$58,19,FALSE()),"")</f>
        <v>85</v>
      </c>
      <c r="L2" s="14" t="s">
        <v>53</v>
      </c>
      <c r="M2" s="14" t="s">
        <v>54</v>
      </c>
      <c r="N2" s="14" t="s">
        <v>55</v>
      </c>
      <c r="O2" s="14" t="s">
        <v>56</v>
      </c>
      <c r="P2" s="16" t="s">
        <v>57</v>
      </c>
    </row>
    <row r="3" customFormat="false" ht="30" hidden="false" customHeight="true" outlineLevel="0" collapsed="false">
      <c r="A3" s="17" t="s">
        <v>58</v>
      </c>
      <c r="B3" s="18" t="s">
        <v>59</v>
      </c>
      <c r="C3" s="18" t="s">
        <v>60</v>
      </c>
      <c r="D3" s="18" t="s">
        <v>46</v>
      </c>
      <c r="E3" s="18" t="s">
        <v>61</v>
      </c>
      <c r="F3" s="18" t="s">
        <v>62</v>
      </c>
      <c r="G3" s="17" t="s">
        <v>49</v>
      </c>
      <c r="H3" s="18" t="s">
        <v>63</v>
      </c>
      <c r="I3" s="18" t="s">
        <v>64</v>
      </c>
      <c r="J3" s="18" t="s">
        <v>65</v>
      </c>
      <c r="K3" s="19" t="n">
        <f aca="false">IFERROR(VLOOKUP(A3,Scoring!$B$8:$T$58,19,FALSE()),"")</f>
        <v>68</v>
      </c>
      <c r="L3" s="18" t="s">
        <v>66</v>
      </c>
      <c r="M3" s="18" t="s">
        <v>67</v>
      </c>
      <c r="N3" s="18" t="s">
        <v>68</v>
      </c>
      <c r="O3" s="18" t="s">
        <v>56</v>
      </c>
      <c r="P3" s="20" t="s">
        <v>69</v>
      </c>
    </row>
    <row r="4" customFormat="false" ht="30" hidden="false" customHeight="true" outlineLevel="0" collapsed="false">
      <c r="A4" s="13" t="s">
        <v>70</v>
      </c>
      <c r="B4" s="14" t="s">
        <v>71</v>
      </c>
      <c r="C4" s="14" t="s">
        <v>72</v>
      </c>
      <c r="D4" s="14" t="s">
        <v>46</v>
      </c>
      <c r="E4" s="14" t="s">
        <v>73</v>
      </c>
      <c r="F4" s="14" t="s">
        <v>74</v>
      </c>
      <c r="G4" s="13" t="s">
        <v>75</v>
      </c>
      <c r="H4" s="14" t="s">
        <v>76</v>
      </c>
      <c r="I4" s="14" t="s">
        <v>77</v>
      </c>
      <c r="J4" s="14" t="s">
        <v>78</v>
      </c>
      <c r="K4" s="15" t="n">
        <f aca="false">IFERROR(VLOOKUP(A4,Scoring!$B$8:$T$58,19,FALSE()),"")</f>
        <v>43</v>
      </c>
      <c r="L4" s="14"/>
      <c r="M4" s="14" t="s">
        <v>79</v>
      </c>
      <c r="N4" s="14" t="s">
        <v>80</v>
      </c>
      <c r="O4" s="14" t="s">
        <v>81</v>
      </c>
      <c r="P4" s="16" t="s">
        <v>82</v>
      </c>
    </row>
    <row r="5" customFormat="false" ht="30" hidden="false" customHeight="true" outlineLevel="0" collapsed="false">
      <c r="K5" s="21" t="str">
        <f aca="false">IFERROR(VLOOKUP(A5,Scoring!$B$8:$T$58,19,FALSE()),"")</f>
        <v/>
      </c>
    </row>
    <row r="6" customFormat="false" ht="30" hidden="false" customHeight="true" outlineLevel="0" collapsed="false">
      <c r="K6" s="21" t="str">
        <f aca="false">IFERROR(VLOOKUP(A6,Scoring!$B$8:$T$58,19,FALSE()),"")</f>
        <v/>
      </c>
    </row>
    <row r="7" customFormat="false" ht="30" hidden="false" customHeight="true" outlineLevel="0" collapsed="false">
      <c r="K7" s="21" t="str">
        <f aca="false">IFERROR(VLOOKUP(A7,Scoring!$B$8:$T$58,19,FALSE()),"")</f>
        <v/>
      </c>
    </row>
    <row r="8" customFormat="false" ht="30" hidden="false" customHeight="true" outlineLevel="0" collapsed="false">
      <c r="K8" s="21" t="str">
        <f aca="false">IFERROR(VLOOKUP(A8,Scoring!$B$8:$T$58,19,FALSE()),"")</f>
        <v/>
      </c>
    </row>
    <row r="9" customFormat="false" ht="30" hidden="false" customHeight="true" outlineLevel="0" collapsed="false">
      <c r="K9" s="21" t="str">
        <f aca="false">IFERROR(VLOOKUP(A9,Scoring!$B$8:$T$58,19,FALSE()),"")</f>
        <v/>
      </c>
    </row>
    <row r="10" customFormat="false" ht="30" hidden="false" customHeight="true" outlineLevel="0" collapsed="false">
      <c r="K10" s="21" t="str">
        <f aca="false">IFERROR(VLOOKUP(A10,Scoring!$B$8:$T$58,19,FALSE()),"")</f>
        <v/>
      </c>
    </row>
    <row r="11" customFormat="false" ht="30" hidden="false" customHeight="true" outlineLevel="0" collapsed="false">
      <c r="K11" s="21" t="str">
        <f aca="false">IFERROR(VLOOKUP(A11,Scoring!$B$8:$T$58,19,FALSE()),"")</f>
        <v/>
      </c>
    </row>
    <row r="12" customFormat="false" ht="30" hidden="false" customHeight="true" outlineLevel="0" collapsed="false">
      <c r="K12" s="21" t="str">
        <f aca="false">IFERROR(VLOOKUP(A12,Scoring!$B$8:$T$58,19,FALSE()),"")</f>
        <v/>
      </c>
    </row>
    <row r="13" customFormat="false" ht="30" hidden="false" customHeight="true" outlineLevel="0" collapsed="false">
      <c r="K13" s="21" t="str">
        <f aca="false">IFERROR(VLOOKUP(A13,Scoring!$B$8:$T$58,19,FALSE()),"")</f>
        <v/>
      </c>
    </row>
    <row r="14" customFormat="false" ht="30" hidden="false" customHeight="true" outlineLevel="0" collapsed="false">
      <c r="K14" s="21" t="str">
        <f aca="false">IFERROR(VLOOKUP(A14,Scoring!$B$8:$T$58,19,FALSE()),"")</f>
        <v/>
      </c>
    </row>
    <row r="15" customFormat="false" ht="30" hidden="false" customHeight="true" outlineLevel="0" collapsed="false">
      <c r="K15" s="21" t="str">
        <f aca="false">IFERROR(VLOOKUP(A15,Scoring!$B$8:$T$58,19,FALSE()),"")</f>
        <v/>
      </c>
    </row>
    <row r="16" customFormat="false" ht="30" hidden="false" customHeight="true" outlineLevel="0" collapsed="false">
      <c r="K16" s="21" t="str">
        <f aca="false">IFERROR(VLOOKUP(A16,Scoring!$B$8:$T$58,19,FALSE()),"")</f>
        <v/>
      </c>
    </row>
    <row r="17" customFormat="false" ht="30" hidden="false" customHeight="true" outlineLevel="0" collapsed="false">
      <c r="K17" s="21" t="str">
        <f aca="false">IFERROR(VLOOKUP(A17,Scoring!$B$8:$T$58,19,FALSE()),"")</f>
        <v/>
      </c>
    </row>
    <row r="18" customFormat="false" ht="30" hidden="false" customHeight="true" outlineLevel="0" collapsed="false">
      <c r="K18" s="21" t="str">
        <f aca="false">IFERROR(VLOOKUP(A18,Scoring!$B$8:$T$58,19,FALSE()),"")</f>
        <v/>
      </c>
    </row>
    <row r="19" customFormat="false" ht="30" hidden="false" customHeight="true" outlineLevel="0" collapsed="false">
      <c r="K19" s="21" t="str">
        <f aca="false">IFERROR(VLOOKUP(A19,Scoring!$B$8:$T$58,19,FALSE()),"")</f>
        <v/>
      </c>
    </row>
    <row r="20" customFormat="false" ht="30" hidden="false" customHeight="true" outlineLevel="0" collapsed="false">
      <c r="K20" s="21" t="str">
        <f aca="false">IFERROR(VLOOKUP(A20,Scoring!$B$8:$T$58,19,FALSE()),"")</f>
        <v/>
      </c>
    </row>
    <row r="21" customFormat="false" ht="30" hidden="false" customHeight="true" outlineLevel="0" collapsed="false">
      <c r="K21" s="21" t="str">
        <f aca="false">IFERROR(VLOOKUP(A21,Scoring!$B$8:$T$58,19,FALSE()),"")</f>
        <v/>
      </c>
    </row>
    <row r="22" customFormat="false" ht="30" hidden="false" customHeight="true" outlineLevel="0" collapsed="false">
      <c r="K22" s="21" t="str">
        <f aca="false">IFERROR(VLOOKUP(A22,Scoring!$B$8:$T$58,19,FALSE()),"")</f>
        <v/>
      </c>
    </row>
    <row r="23" customFormat="false" ht="30" hidden="false" customHeight="true" outlineLevel="0" collapsed="false">
      <c r="K23" s="21" t="str">
        <f aca="false">IFERROR(VLOOKUP(A23,Scoring!$B$8:$T$58,19,FALSE()),"")</f>
        <v/>
      </c>
    </row>
    <row r="24" customFormat="false" ht="30" hidden="false" customHeight="true" outlineLevel="0" collapsed="false">
      <c r="K24" s="21" t="str">
        <f aca="false">IFERROR(VLOOKUP(A24,Scoring!$B$8:$T$58,19,FALSE()),"")</f>
        <v/>
      </c>
    </row>
    <row r="25" customFormat="false" ht="30" hidden="false" customHeight="true" outlineLevel="0" collapsed="false">
      <c r="K25" s="21" t="str">
        <f aca="false">IFERROR(VLOOKUP(A25,Scoring!$B$8:$T$58,19,FALSE()),"")</f>
        <v/>
      </c>
    </row>
    <row r="26" customFormat="false" ht="30" hidden="false" customHeight="true" outlineLevel="0" collapsed="false">
      <c r="K26" s="21" t="str">
        <f aca="false">IFERROR(VLOOKUP(A26,Scoring!$B$8:$T$58,19,FALSE()),"")</f>
        <v/>
      </c>
    </row>
    <row r="27" customFormat="false" ht="30" hidden="false" customHeight="true" outlineLevel="0" collapsed="false">
      <c r="K27" s="21" t="str">
        <f aca="false">IFERROR(VLOOKUP(A27,Scoring!$B$8:$T$58,19,FALSE()),"")</f>
        <v/>
      </c>
    </row>
    <row r="28" customFormat="false" ht="30" hidden="false" customHeight="true" outlineLevel="0" collapsed="false">
      <c r="K28" s="21" t="str">
        <f aca="false">IFERROR(VLOOKUP(A28,Scoring!$B$8:$T$58,19,FALSE()),"")</f>
        <v/>
      </c>
    </row>
    <row r="29" customFormat="false" ht="30" hidden="false" customHeight="true" outlineLevel="0" collapsed="false">
      <c r="K29" s="21" t="str">
        <f aca="false">IFERROR(VLOOKUP(A29,Scoring!$B$8:$T$58,19,FALSE()),"")</f>
        <v/>
      </c>
    </row>
    <row r="30" customFormat="false" ht="30" hidden="false" customHeight="true" outlineLevel="0" collapsed="false">
      <c r="K30" s="21" t="str">
        <f aca="false">IFERROR(VLOOKUP(A30,Scoring!$B$8:$T$58,19,FALSE()),"")</f>
        <v/>
      </c>
    </row>
    <row r="31" customFormat="false" ht="30" hidden="false" customHeight="true" outlineLevel="0" collapsed="false">
      <c r="K31" s="21" t="str">
        <f aca="false">IFERROR(VLOOKUP(A31,Scoring!$B$8:$T$58,19,FALSE()),"")</f>
        <v/>
      </c>
    </row>
    <row r="32" customFormat="false" ht="30" hidden="false" customHeight="true" outlineLevel="0" collapsed="false">
      <c r="K32" s="21" t="str">
        <f aca="false">IFERROR(VLOOKUP(A32,Scoring!$B$8:$T$58,19,FALSE()),"")</f>
        <v/>
      </c>
    </row>
    <row r="33" customFormat="false" ht="30" hidden="false" customHeight="true" outlineLevel="0" collapsed="false">
      <c r="K33" s="21" t="str">
        <f aca="false">IFERROR(VLOOKUP(A33,Scoring!$B$8:$T$58,19,FALSE()),"")</f>
        <v/>
      </c>
    </row>
    <row r="34" customFormat="false" ht="30" hidden="false" customHeight="true" outlineLevel="0" collapsed="false">
      <c r="K34" s="21" t="str">
        <f aca="false">IFERROR(VLOOKUP(A34,Scoring!$B$8:$T$58,19,FALSE()),"")</f>
        <v/>
      </c>
    </row>
    <row r="35" customFormat="false" ht="30" hidden="false" customHeight="true" outlineLevel="0" collapsed="false">
      <c r="K35" s="21" t="str">
        <f aca="false">IFERROR(VLOOKUP(A35,Scoring!$B$8:$T$58,19,FALSE()),"")</f>
        <v/>
      </c>
    </row>
    <row r="36" customFormat="false" ht="30" hidden="false" customHeight="true" outlineLevel="0" collapsed="false">
      <c r="K36" s="21" t="str">
        <f aca="false">IFERROR(VLOOKUP(A36,Scoring!$B$8:$T$58,19,FALSE()),"")</f>
        <v/>
      </c>
    </row>
    <row r="37" customFormat="false" ht="30" hidden="false" customHeight="true" outlineLevel="0" collapsed="false">
      <c r="K37" s="21" t="str">
        <f aca="false">IFERROR(VLOOKUP(A37,Scoring!$B$8:$T$58,19,FALSE()),"")</f>
        <v/>
      </c>
    </row>
    <row r="38" customFormat="false" ht="30" hidden="false" customHeight="true" outlineLevel="0" collapsed="false">
      <c r="K38" s="21" t="str">
        <f aca="false">IFERROR(VLOOKUP(A38,Scoring!$B$8:$T$58,19,FALSE()),"")</f>
        <v/>
      </c>
    </row>
    <row r="39" customFormat="false" ht="30" hidden="false" customHeight="true" outlineLevel="0" collapsed="false">
      <c r="K39" s="21" t="str">
        <f aca="false">IFERROR(VLOOKUP(A39,Scoring!$B$8:$T$58,19,FALSE()),"")</f>
        <v/>
      </c>
    </row>
    <row r="40" customFormat="false" ht="30" hidden="false" customHeight="true" outlineLevel="0" collapsed="false">
      <c r="K40" s="21" t="str">
        <f aca="false">IFERROR(VLOOKUP(A40,Scoring!$B$8:$T$58,19,FALSE()),"")</f>
        <v/>
      </c>
    </row>
    <row r="41" customFormat="false" ht="30" hidden="false" customHeight="true" outlineLevel="0" collapsed="false">
      <c r="K41" s="21" t="str">
        <f aca="false">IFERROR(VLOOKUP(A41,Scoring!$B$8:$T$58,19,FALSE()),"")</f>
        <v/>
      </c>
    </row>
    <row r="42" customFormat="false" ht="30" hidden="false" customHeight="true" outlineLevel="0" collapsed="false">
      <c r="K42" s="21" t="str">
        <f aca="false">IFERROR(VLOOKUP(A42,Scoring!$B$8:$T$58,19,FALSE()),"")</f>
        <v/>
      </c>
    </row>
    <row r="43" customFormat="false" ht="30" hidden="false" customHeight="true" outlineLevel="0" collapsed="false">
      <c r="K43" s="21" t="str">
        <f aca="false">IFERROR(VLOOKUP(A43,Scoring!$B$8:$T$58,19,FALSE()),"")</f>
        <v/>
      </c>
    </row>
    <row r="44" customFormat="false" ht="30" hidden="false" customHeight="true" outlineLevel="0" collapsed="false">
      <c r="K44" s="21" t="str">
        <f aca="false">IFERROR(VLOOKUP(A44,Scoring!$B$8:$T$58,19,FALSE()),"")</f>
        <v/>
      </c>
    </row>
    <row r="45" customFormat="false" ht="30" hidden="false" customHeight="true" outlineLevel="0" collapsed="false">
      <c r="K45" s="21" t="str">
        <f aca="false">IFERROR(VLOOKUP(A45,Scoring!$B$8:$T$58,19,FALSE()),"")</f>
        <v/>
      </c>
    </row>
    <row r="46" customFormat="false" ht="30" hidden="false" customHeight="true" outlineLevel="0" collapsed="false">
      <c r="K46" s="21" t="str">
        <f aca="false">IFERROR(VLOOKUP(A46,Scoring!$B$8:$T$58,19,FALSE()),"")</f>
        <v/>
      </c>
    </row>
    <row r="47" customFormat="false" ht="30" hidden="false" customHeight="true" outlineLevel="0" collapsed="false">
      <c r="K47" s="21" t="str">
        <f aca="false">IFERROR(VLOOKUP(A47,Scoring!$B$8:$T$58,19,FALSE()),"")</f>
        <v/>
      </c>
    </row>
    <row r="48" customFormat="false" ht="30" hidden="false" customHeight="true" outlineLevel="0" collapsed="false">
      <c r="K48" s="21" t="str">
        <f aca="false">IFERROR(VLOOKUP(A48,Scoring!$B$8:$T$58,19,FALSE()),"")</f>
        <v/>
      </c>
    </row>
    <row r="49" customFormat="false" ht="30" hidden="false" customHeight="true" outlineLevel="0" collapsed="false">
      <c r="K49" s="21" t="str">
        <f aca="false">IFERROR(VLOOKUP(A49,Scoring!$B$8:$T$58,19,FALSE()),"")</f>
        <v/>
      </c>
    </row>
    <row r="50" customFormat="false" ht="30" hidden="false" customHeight="true" outlineLevel="0" collapsed="false">
      <c r="K50" s="21" t="str">
        <f aca="false">IFERROR(VLOOKUP(A50,Scoring!$B$8:$T$58,19,FALSE()),"")</f>
        <v/>
      </c>
    </row>
  </sheetData>
  <conditionalFormatting sqref="K2:K500">
    <cfRule type="cellIs" priority="2" operator="greaterThanOrEqual" aboveAverage="0" equalAverage="0" bottom="0" percent="0" rank="0" text="" dxfId="0">
      <formula>70</formula>
    </cfRule>
    <cfRule type="cellIs" priority="3" operator="between" aboveAverage="0" equalAverage="0" bottom="0" percent="0" rank="0" text="" dxfId="1">
      <formula>50</formula>
      <formula>69.9999</formula>
    </cfRule>
    <cfRule type="cellIs" priority="4" operator="lessThan" aboveAverage="0" equalAverage="0" bottom="0" percent="0" rank="0" text="" dxfId="2">
      <formula>50</formula>
    </cfRule>
  </conditionalFormatting>
  <dataValidations count="4">
    <dataValidation allowBlank="true" errorStyle="stop" operator="between" showDropDown="false" showErrorMessage="false" showInputMessage="false" sqref="D2:D500" type="list">
      <formula1>"Généraliste,Spécialiste,Autre"</formula1>
      <formula2>0</formula2>
    </dataValidation>
    <dataValidation allowBlank="true" errorStyle="stop" operator="between" showDropDown="false" showErrorMessage="false" showInputMessage="false" sqref="E2:E500" type="list">
      <formula1>"Solo,Groupe,MSP,CPTS,Salariat partiel"</formula1>
      <formula2>0</formula2>
    </dataValidation>
    <dataValidation allowBlank="true" errorStyle="stop" operator="between" showDropDown="false" showErrorMessage="false" showInputMessage="false" sqref="H2:H500" type="list">
      <formula1>"URPS,Parrainage,Congrès,LinkedIn,Site web,Contact direct,Assureur RCP,Autre"</formula1>
      <formula2>0</formula2>
    </dataValidation>
    <dataValidation allowBlank="true" errorStyle="stop" operator="between" showDropDown="false" showErrorMessage="false" showInputMessage="false" sqref="J2:J500" type="list">
      <formula1>"1 · Identifié,2 · Contacté,3 · Intéressé,4 · Diagnostic complété,5 · Restitution faite,6 · Pilote engagé,7 · Chantier en cours,8 · Référence formalisée"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T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7"/>
    <col collapsed="false" customWidth="true" hidden="false" outlineLevel="0" max="3" min="3" style="0" width="24"/>
    <col collapsed="false" customWidth="true" hidden="false" outlineLevel="0" max="19" min="4" style="0" width="9"/>
    <col collapsed="false" customWidth="true" hidden="false" outlineLevel="0" max="20" min="20" style="0" width="10"/>
  </cols>
  <sheetData>
    <row r="2" customFormat="false" ht="15" hidden="false" customHeight="false" outlineLevel="0" collapsed="false">
      <c r="B2" s="22" t="s">
        <v>83</v>
      </c>
    </row>
    <row r="3" customFormat="false" ht="19.7" hidden="false" customHeight="false" outlineLevel="0" collapsed="false">
      <c r="B3" s="23" t="s">
        <v>84</v>
      </c>
    </row>
    <row r="4" customFormat="false" ht="214.15" hidden="false" customHeight="false" outlineLevel="0" collapsed="false">
      <c r="B4" s="6" t="s">
        <v>85</v>
      </c>
    </row>
    <row r="5" customFormat="false" ht="15" hidden="false" customHeight="false" outlineLevel="0" collapsed="false">
      <c r="D5" s="24" t="s">
        <v>86</v>
      </c>
      <c r="E5" s="25" t="n">
        <v>0.35</v>
      </c>
      <c r="F5" s="24" t="s">
        <v>87</v>
      </c>
      <c r="G5" s="25" t="n">
        <v>0.3</v>
      </c>
      <c r="H5" s="24" t="s">
        <v>88</v>
      </c>
      <c r="I5" s="25" t="n">
        <v>0.35</v>
      </c>
      <c r="J5" s="26" t="s">
        <v>89</v>
      </c>
    </row>
    <row r="7" customFormat="false" ht="37.5" hidden="false" customHeight="true" outlineLevel="0" collapsed="false">
      <c r="B7" s="12" t="s">
        <v>27</v>
      </c>
      <c r="C7" s="12" t="s">
        <v>90</v>
      </c>
      <c r="D7" s="12" t="s">
        <v>91</v>
      </c>
      <c r="E7" s="12" t="s">
        <v>92</v>
      </c>
      <c r="F7" s="12" t="s">
        <v>93</v>
      </c>
      <c r="G7" s="12" t="s">
        <v>94</v>
      </c>
      <c r="H7" s="12" t="s">
        <v>95</v>
      </c>
      <c r="I7" s="12" t="s">
        <v>96</v>
      </c>
      <c r="J7" s="12" t="s">
        <v>97</v>
      </c>
      <c r="K7" s="12" t="s">
        <v>98</v>
      </c>
      <c r="L7" s="12" t="s">
        <v>99</v>
      </c>
      <c r="M7" s="12" t="s">
        <v>100</v>
      </c>
      <c r="N7" s="12" t="s">
        <v>101</v>
      </c>
      <c r="O7" s="12" t="s">
        <v>102</v>
      </c>
      <c r="P7" s="12" t="s">
        <v>103</v>
      </c>
      <c r="Q7" s="12" t="s">
        <v>104</v>
      </c>
      <c r="R7" s="12" t="s">
        <v>105</v>
      </c>
      <c r="S7" s="12" t="s">
        <v>106</v>
      </c>
      <c r="T7" s="12" t="s">
        <v>107</v>
      </c>
    </row>
    <row r="8" customFormat="false" ht="15" hidden="false" customHeight="false" outlineLevel="0" collapsed="false">
      <c r="B8" s="27" t="str">
        <f aca="false">IFERROR(Pipeline!A2,"")</f>
        <v>P001</v>
      </c>
      <c r="C8" s="28" t="str">
        <f aca="false">IFERROR(Pipeline!B2,"")</f>
        <v>Dr. Marie Lemaire</v>
      </c>
      <c r="D8" s="29" t="n">
        <v>5</v>
      </c>
      <c r="E8" s="29" t="n">
        <v>4</v>
      </c>
      <c r="F8" s="29" t="n">
        <v>3</v>
      </c>
      <c r="G8" s="29" t="n">
        <v>4</v>
      </c>
      <c r="H8" s="29" t="n">
        <v>5</v>
      </c>
      <c r="I8" s="30" t="n">
        <f aca="false">IF(COUNT(D8:H8)=0,"",SUM(D8:H8))</f>
        <v>21</v>
      </c>
      <c r="J8" s="29" t="n">
        <v>4</v>
      </c>
      <c r="K8" s="29" t="n">
        <v>4</v>
      </c>
      <c r="L8" s="29" t="n">
        <v>4</v>
      </c>
      <c r="M8" s="29" t="n">
        <v>4</v>
      </c>
      <c r="N8" s="30" t="n">
        <f aca="false">IF(COUNT(J8:M8)=0,"",SUM(J8:M8))</f>
        <v>16</v>
      </c>
      <c r="O8" s="29" t="n">
        <v>4</v>
      </c>
      <c r="P8" s="29" t="n">
        <v>5</v>
      </c>
      <c r="Q8" s="29" t="n">
        <v>5</v>
      </c>
      <c r="R8" s="29" t="n">
        <v>4</v>
      </c>
      <c r="S8" s="30" t="n">
        <f aca="false">IF(COUNT(O8:R8)=0,"",SUM(O8:R8))</f>
        <v>18</v>
      </c>
      <c r="T8" s="31" t="n">
        <f aca="false">IFERROR(ROUND((I8/25*$E$5 + N8/20*$G$5 + S8/20*$I$5)*100,0),"")</f>
        <v>85</v>
      </c>
    </row>
    <row r="9" customFormat="false" ht="15" hidden="false" customHeight="false" outlineLevel="0" collapsed="false">
      <c r="B9" s="32" t="str">
        <f aca="false">IFERROR(Pipeline!A3,"")</f>
        <v>P002</v>
      </c>
      <c r="C9" s="33" t="str">
        <f aca="false">IFERROR(Pipeline!B3,"")</f>
        <v>Dr. Antoine Roussel</v>
      </c>
      <c r="D9" s="34" t="n">
        <v>4</v>
      </c>
      <c r="E9" s="34" t="n">
        <v>3</v>
      </c>
      <c r="F9" s="34" t="n">
        <v>3</v>
      </c>
      <c r="G9" s="34" t="n">
        <v>3</v>
      </c>
      <c r="H9" s="34" t="n">
        <v>4</v>
      </c>
      <c r="I9" s="35" t="n">
        <f aca="false">IF(COUNT(D9:H9)=0,"",SUM(D9:H9))</f>
        <v>17</v>
      </c>
      <c r="J9" s="34" t="n">
        <v>4</v>
      </c>
      <c r="K9" s="34" t="n">
        <v>3</v>
      </c>
      <c r="L9" s="34" t="n">
        <v>3</v>
      </c>
      <c r="M9" s="34" t="n">
        <v>3</v>
      </c>
      <c r="N9" s="35" t="n">
        <f aca="false">IF(COUNT(J9:M9)=0,"",SUM(J9:M9))</f>
        <v>13</v>
      </c>
      <c r="O9" s="34" t="n">
        <v>3</v>
      </c>
      <c r="P9" s="34" t="n">
        <v>4</v>
      </c>
      <c r="Q9" s="34" t="n">
        <v>3</v>
      </c>
      <c r="R9" s="34" t="n">
        <v>4</v>
      </c>
      <c r="S9" s="35" t="n">
        <f aca="false">IF(COUNT(O9:R9)=0,"",SUM(O9:R9))</f>
        <v>14</v>
      </c>
      <c r="T9" s="36" t="n">
        <f aca="false">IFERROR(ROUND((I9/25*$E$5 + N9/20*$G$5 + S9/20*$I$5)*100,0),"")</f>
        <v>68</v>
      </c>
    </row>
    <row r="10" customFormat="false" ht="15" hidden="false" customHeight="false" outlineLevel="0" collapsed="false">
      <c r="B10" s="27" t="str">
        <f aca="false">IFERROR(Pipeline!A4,"")</f>
        <v>P003</v>
      </c>
      <c r="C10" s="28" t="str">
        <f aca="false">IFERROR(Pipeline!B4,"")</f>
        <v>Dr. Camille Bonnet</v>
      </c>
      <c r="D10" s="29" t="n">
        <v>3</v>
      </c>
      <c r="E10" s="29" t="n">
        <v>2</v>
      </c>
      <c r="F10" s="29" t="n">
        <v>2</v>
      </c>
      <c r="G10" s="29" t="n">
        <v>2</v>
      </c>
      <c r="H10" s="29" t="n">
        <v>3</v>
      </c>
      <c r="I10" s="30" t="n">
        <f aca="false">IF(COUNT(D10:H10)=0,"",SUM(D10:H10))</f>
        <v>12</v>
      </c>
      <c r="J10" s="29" t="n">
        <v>2</v>
      </c>
      <c r="K10" s="29" t="n">
        <v>2</v>
      </c>
      <c r="L10" s="29" t="n">
        <v>2</v>
      </c>
      <c r="M10" s="29" t="n">
        <v>2</v>
      </c>
      <c r="N10" s="30" t="n">
        <f aca="false">IF(COUNT(J10:M10)=0,"",SUM(J10:M10))</f>
        <v>8</v>
      </c>
      <c r="O10" s="29" t="n">
        <v>2</v>
      </c>
      <c r="P10" s="29" t="n">
        <v>2</v>
      </c>
      <c r="Q10" s="29" t="n">
        <v>2</v>
      </c>
      <c r="R10" s="29" t="n">
        <v>2</v>
      </c>
      <c r="S10" s="30" t="n">
        <f aca="false">IF(COUNT(O10:R10)=0,"",SUM(O10:R10))</f>
        <v>8</v>
      </c>
      <c r="T10" s="31" t="n">
        <f aca="false">IFERROR(ROUND((I10/25*$E$5 + N10/20*$G$5 + S10/20*$I$5)*100,0),"")</f>
        <v>43</v>
      </c>
    </row>
    <row r="11" customFormat="false" ht="15" hidden="false" customHeight="false" outlineLevel="0" collapsed="false">
      <c r="B11" s="32" t="n">
        <f aca="false">IFERROR(Pipeline!A5,"")</f>
        <v>0</v>
      </c>
      <c r="C11" s="33" t="n">
        <f aca="false">IFERROR(Pipeline!B5,"")</f>
        <v>0</v>
      </c>
      <c r="I11" s="35" t="str">
        <f aca="false">IF(COUNT(D11:H11)=0,"",SUM(D11:H11))</f>
        <v/>
      </c>
      <c r="N11" s="35" t="str">
        <f aca="false">IF(COUNT(J11:M11)=0,"",SUM(J11:M11))</f>
        <v/>
      </c>
      <c r="S11" s="35" t="str">
        <f aca="false">IF(COUNT(O11:R11)=0,"",SUM(O11:R11))</f>
        <v/>
      </c>
      <c r="T11" s="36" t="str">
        <f aca="false">IFERROR(ROUND((I11/25*$E$5 + N11/20*$G$5 + S11/20*$I$5)*100,0),"")</f>
        <v/>
      </c>
    </row>
    <row r="12" customFormat="false" ht="15" hidden="false" customHeight="false" outlineLevel="0" collapsed="false">
      <c r="B12" s="27" t="n">
        <f aca="false">IFERROR(Pipeline!A6,"")</f>
        <v>0</v>
      </c>
      <c r="C12" s="28" t="n">
        <f aca="false">IFERROR(Pipeline!B6,"")</f>
        <v>0</v>
      </c>
      <c r="D12" s="37"/>
      <c r="E12" s="37"/>
      <c r="F12" s="37"/>
      <c r="G12" s="37"/>
      <c r="H12" s="37"/>
      <c r="I12" s="30" t="str">
        <f aca="false">IF(COUNT(D12:H12)=0,"",SUM(D12:H12))</f>
        <v/>
      </c>
      <c r="J12" s="37"/>
      <c r="K12" s="37"/>
      <c r="L12" s="37"/>
      <c r="M12" s="37"/>
      <c r="N12" s="30" t="str">
        <f aca="false">IF(COUNT(J12:M12)=0,"",SUM(J12:M12))</f>
        <v/>
      </c>
      <c r="O12" s="37"/>
      <c r="P12" s="37"/>
      <c r="Q12" s="37"/>
      <c r="R12" s="37"/>
      <c r="S12" s="30" t="str">
        <f aca="false">IF(COUNT(O12:R12)=0,"",SUM(O12:R12))</f>
        <v/>
      </c>
      <c r="T12" s="31" t="str">
        <f aca="false">IFERROR(ROUND((I12/25*$E$5 + N12/20*$G$5 + S12/20*$I$5)*100,0),"")</f>
        <v/>
      </c>
    </row>
    <row r="13" customFormat="false" ht="15" hidden="false" customHeight="false" outlineLevel="0" collapsed="false">
      <c r="B13" s="32" t="n">
        <f aca="false">IFERROR(Pipeline!A7,"")</f>
        <v>0</v>
      </c>
      <c r="C13" s="33" t="n">
        <f aca="false">IFERROR(Pipeline!B7,"")</f>
        <v>0</v>
      </c>
      <c r="I13" s="35" t="str">
        <f aca="false">IF(COUNT(D13:H13)=0,"",SUM(D13:H13))</f>
        <v/>
      </c>
      <c r="N13" s="35" t="str">
        <f aca="false">IF(COUNT(J13:M13)=0,"",SUM(J13:M13))</f>
        <v/>
      </c>
      <c r="S13" s="35" t="str">
        <f aca="false">IF(COUNT(O13:R13)=0,"",SUM(O13:R13))</f>
        <v/>
      </c>
      <c r="T13" s="36" t="str">
        <f aca="false">IFERROR(ROUND((I13/25*$E$5 + N13/20*$G$5 + S13/20*$I$5)*100,0),"")</f>
        <v/>
      </c>
    </row>
    <row r="14" customFormat="false" ht="15" hidden="false" customHeight="false" outlineLevel="0" collapsed="false">
      <c r="B14" s="27" t="n">
        <f aca="false">IFERROR(Pipeline!A8,"")</f>
        <v>0</v>
      </c>
      <c r="C14" s="28" t="n">
        <f aca="false">IFERROR(Pipeline!B8,"")</f>
        <v>0</v>
      </c>
      <c r="D14" s="37"/>
      <c r="E14" s="37"/>
      <c r="F14" s="37"/>
      <c r="G14" s="37"/>
      <c r="H14" s="37"/>
      <c r="I14" s="30" t="str">
        <f aca="false">IF(COUNT(D14:H14)=0,"",SUM(D14:H14))</f>
        <v/>
      </c>
      <c r="J14" s="37"/>
      <c r="K14" s="37"/>
      <c r="L14" s="37"/>
      <c r="M14" s="37"/>
      <c r="N14" s="30" t="str">
        <f aca="false">IF(COUNT(J14:M14)=0,"",SUM(J14:M14))</f>
        <v/>
      </c>
      <c r="O14" s="37"/>
      <c r="P14" s="37"/>
      <c r="Q14" s="37"/>
      <c r="R14" s="37"/>
      <c r="S14" s="30" t="str">
        <f aca="false">IF(COUNT(O14:R14)=0,"",SUM(O14:R14))</f>
        <v/>
      </c>
      <c r="T14" s="31" t="str">
        <f aca="false">IFERROR(ROUND((I14/25*$E$5 + N14/20*$G$5 + S14/20*$I$5)*100,0),"")</f>
        <v/>
      </c>
    </row>
    <row r="15" customFormat="false" ht="15" hidden="false" customHeight="false" outlineLevel="0" collapsed="false">
      <c r="B15" s="32" t="n">
        <f aca="false">IFERROR(Pipeline!A9,"")</f>
        <v>0</v>
      </c>
      <c r="C15" s="33" t="n">
        <f aca="false">IFERROR(Pipeline!B9,"")</f>
        <v>0</v>
      </c>
      <c r="I15" s="35" t="str">
        <f aca="false">IF(COUNT(D15:H15)=0,"",SUM(D15:H15))</f>
        <v/>
      </c>
      <c r="N15" s="35" t="str">
        <f aca="false">IF(COUNT(J15:M15)=0,"",SUM(J15:M15))</f>
        <v/>
      </c>
      <c r="S15" s="35" t="str">
        <f aca="false">IF(COUNT(O15:R15)=0,"",SUM(O15:R15))</f>
        <v/>
      </c>
      <c r="T15" s="36" t="str">
        <f aca="false">IFERROR(ROUND((I15/25*$E$5 + N15/20*$G$5 + S15/20*$I$5)*100,0),"")</f>
        <v/>
      </c>
    </row>
    <row r="16" customFormat="false" ht="15" hidden="false" customHeight="false" outlineLevel="0" collapsed="false">
      <c r="B16" s="27" t="n">
        <f aca="false">IFERROR(Pipeline!A10,"")</f>
        <v>0</v>
      </c>
      <c r="C16" s="28" t="n">
        <f aca="false">IFERROR(Pipeline!B10,"")</f>
        <v>0</v>
      </c>
      <c r="D16" s="37"/>
      <c r="E16" s="37"/>
      <c r="F16" s="37"/>
      <c r="G16" s="37"/>
      <c r="H16" s="37"/>
      <c r="I16" s="30" t="str">
        <f aca="false">IF(COUNT(D16:H16)=0,"",SUM(D16:H16))</f>
        <v/>
      </c>
      <c r="J16" s="37"/>
      <c r="K16" s="37"/>
      <c r="L16" s="37"/>
      <c r="M16" s="37"/>
      <c r="N16" s="30" t="str">
        <f aca="false">IF(COUNT(J16:M16)=0,"",SUM(J16:M16))</f>
        <v/>
      </c>
      <c r="O16" s="37"/>
      <c r="P16" s="37"/>
      <c r="Q16" s="37"/>
      <c r="R16" s="37"/>
      <c r="S16" s="30" t="str">
        <f aca="false">IF(COUNT(O16:R16)=0,"",SUM(O16:R16))</f>
        <v/>
      </c>
      <c r="T16" s="31" t="str">
        <f aca="false">IFERROR(ROUND((I16/25*$E$5 + N16/20*$G$5 + S16/20*$I$5)*100,0),"")</f>
        <v/>
      </c>
    </row>
    <row r="17" customFormat="false" ht="15" hidden="false" customHeight="false" outlineLevel="0" collapsed="false">
      <c r="B17" s="32" t="n">
        <f aca="false">IFERROR(Pipeline!A11,"")</f>
        <v>0</v>
      </c>
      <c r="C17" s="33" t="n">
        <f aca="false">IFERROR(Pipeline!B11,"")</f>
        <v>0</v>
      </c>
      <c r="I17" s="35" t="str">
        <f aca="false">IF(COUNT(D17:H17)=0,"",SUM(D17:H17))</f>
        <v/>
      </c>
      <c r="N17" s="35" t="str">
        <f aca="false">IF(COUNT(J17:M17)=0,"",SUM(J17:M17))</f>
        <v/>
      </c>
      <c r="S17" s="35" t="str">
        <f aca="false">IF(COUNT(O17:R17)=0,"",SUM(O17:R17))</f>
        <v/>
      </c>
      <c r="T17" s="36" t="str">
        <f aca="false">IFERROR(ROUND((I17/25*$E$5 + N17/20*$G$5 + S17/20*$I$5)*100,0),"")</f>
        <v/>
      </c>
    </row>
    <row r="18" customFormat="false" ht="15" hidden="false" customHeight="false" outlineLevel="0" collapsed="false">
      <c r="B18" s="27" t="n">
        <f aca="false">IFERROR(Pipeline!A12,"")</f>
        <v>0</v>
      </c>
      <c r="C18" s="28" t="n">
        <f aca="false">IFERROR(Pipeline!B12,"")</f>
        <v>0</v>
      </c>
      <c r="D18" s="37"/>
      <c r="E18" s="37"/>
      <c r="F18" s="37"/>
      <c r="G18" s="37"/>
      <c r="H18" s="37"/>
      <c r="I18" s="30" t="str">
        <f aca="false">IF(COUNT(D18:H18)=0,"",SUM(D18:H18))</f>
        <v/>
      </c>
      <c r="J18" s="37"/>
      <c r="K18" s="37"/>
      <c r="L18" s="37"/>
      <c r="M18" s="37"/>
      <c r="N18" s="30" t="str">
        <f aca="false">IF(COUNT(J18:M18)=0,"",SUM(J18:M18))</f>
        <v/>
      </c>
      <c r="O18" s="37"/>
      <c r="P18" s="37"/>
      <c r="Q18" s="37"/>
      <c r="R18" s="37"/>
      <c r="S18" s="30" t="str">
        <f aca="false">IF(COUNT(O18:R18)=0,"",SUM(O18:R18))</f>
        <v/>
      </c>
      <c r="T18" s="31" t="str">
        <f aca="false">IFERROR(ROUND((I18/25*$E$5 + N18/20*$G$5 + S18/20*$I$5)*100,0),"")</f>
        <v/>
      </c>
    </row>
    <row r="19" customFormat="false" ht="15" hidden="false" customHeight="false" outlineLevel="0" collapsed="false">
      <c r="B19" s="32" t="n">
        <f aca="false">IFERROR(Pipeline!A13,"")</f>
        <v>0</v>
      </c>
      <c r="C19" s="33" t="n">
        <f aca="false">IFERROR(Pipeline!B13,"")</f>
        <v>0</v>
      </c>
      <c r="I19" s="35" t="str">
        <f aca="false">IF(COUNT(D19:H19)=0,"",SUM(D19:H19))</f>
        <v/>
      </c>
      <c r="N19" s="35" t="str">
        <f aca="false">IF(COUNT(J19:M19)=0,"",SUM(J19:M19))</f>
        <v/>
      </c>
      <c r="S19" s="35" t="str">
        <f aca="false">IF(COUNT(O19:R19)=0,"",SUM(O19:R19))</f>
        <v/>
      </c>
      <c r="T19" s="36" t="str">
        <f aca="false">IFERROR(ROUND((I19/25*$E$5 + N19/20*$G$5 + S19/20*$I$5)*100,0),"")</f>
        <v/>
      </c>
    </row>
    <row r="20" customFormat="false" ht="15" hidden="false" customHeight="false" outlineLevel="0" collapsed="false">
      <c r="B20" s="27" t="n">
        <f aca="false">IFERROR(Pipeline!A14,"")</f>
        <v>0</v>
      </c>
      <c r="C20" s="28" t="n">
        <f aca="false">IFERROR(Pipeline!B14,"")</f>
        <v>0</v>
      </c>
      <c r="D20" s="37"/>
      <c r="E20" s="37"/>
      <c r="F20" s="37"/>
      <c r="G20" s="37"/>
      <c r="H20" s="37"/>
      <c r="I20" s="30" t="str">
        <f aca="false">IF(COUNT(D20:H20)=0,"",SUM(D20:H20))</f>
        <v/>
      </c>
      <c r="J20" s="37"/>
      <c r="K20" s="37"/>
      <c r="L20" s="37"/>
      <c r="M20" s="37"/>
      <c r="N20" s="30" t="str">
        <f aca="false">IF(COUNT(J20:M20)=0,"",SUM(J20:M20))</f>
        <v/>
      </c>
      <c r="O20" s="37"/>
      <c r="P20" s="37"/>
      <c r="Q20" s="37"/>
      <c r="R20" s="37"/>
      <c r="S20" s="30" t="str">
        <f aca="false">IF(COUNT(O20:R20)=0,"",SUM(O20:R20))</f>
        <v/>
      </c>
      <c r="T20" s="31" t="str">
        <f aca="false">IFERROR(ROUND((I20/25*$E$5 + N20/20*$G$5 + S20/20*$I$5)*100,0),"")</f>
        <v/>
      </c>
    </row>
    <row r="21" customFormat="false" ht="15" hidden="false" customHeight="false" outlineLevel="0" collapsed="false">
      <c r="B21" s="32" t="n">
        <f aca="false">IFERROR(Pipeline!A15,"")</f>
        <v>0</v>
      </c>
      <c r="C21" s="33" t="n">
        <f aca="false">IFERROR(Pipeline!B15,"")</f>
        <v>0</v>
      </c>
      <c r="I21" s="35" t="str">
        <f aca="false">IF(COUNT(D21:H21)=0,"",SUM(D21:H21))</f>
        <v/>
      </c>
      <c r="N21" s="35" t="str">
        <f aca="false">IF(COUNT(J21:M21)=0,"",SUM(J21:M21))</f>
        <v/>
      </c>
      <c r="S21" s="35" t="str">
        <f aca="false">IF(COUNT(O21:R21)=0,"",SUM(O21:R21))</f>
        <v/>
      </c>
      <c r="T21" s="36" t="str">
        <f aca="false">IFERROR(ROUND((I21/25*$E$5 + N21/20*$G$5 + S21/20*$I$5)*100,0),"")</f>
        <v/>
      </c>
    </row>
    <row r="22" customFormat="false" ht="15" hidden="false" customHeight="false" outlineLevel="0" collapsed="false">
      <c r="B22" s="27" t="n">
        <f aca="false">IFERROR(Pipeline!A16,"")</f>
        <v>0</v>
      </c>
      <c r="C22" s="28" t="n">
        <f aca="false">IFERROR(Pipeline!B16,"")</f>
        <v>0</v>
      </c>
      <c r="D22" s="37"/>
      <c r="E22" s="37"/>
      <c r="F22" s="37"/>
      <c r="G22" s="37"/>
      <c r="H22" s="37"/>
      <c r="I22" s="30" t="str">
        <f aca="false">IF(COUNT(D22:H22)=0,"",SUM(D22:H22))</f>
        <v/>
      </c>
      <c r="J22" s="37"/>
      <c r="K22" s="37"/>
      <c r="L22" s="37"/>
      <c r="M22" s="37"/>
      <c r="N22" s="30" t="str">
        <f aca="false">IF(COUNT(J22:M22)=0,"",SUM(J22:M22))</f>
        <v/>
      </c>
      <c r="O22" s="37"/>
      <c r="P22" s="37"/>
      <c r="Q22" s="37"/>
      <c r="R22" s="37"/>
      <c r="S22" s="30" t="str">
        <f aca="false">IF(COUNT(O22:R22)=0,"",SUM(O22:R22))</f>
        <v/>
      </c>
      <c r="T22" s="31" t="str">
        <f aca="false">IFERROR(ROUND((I22/25*$E$5 + N22/20*$G$5 + S22/20*$I$5)*100,0),"")</f>
        <v/>
      </c>
    </row>
    <row r="23" customFormat="false" ht="15" hidden="false" customHeight="false" outlineLevel="0" collapsed="false">
      <c r="B23" s="32" t="n">
        <f aca="false">IFERROR(Pipeline!A17,"")</f>
        <v>0</v>
      </c>
      <c r="C23" s="33" t="n">
        <f aca="false">IFERROR(Pipeline!B17,"")</f>
        <v>0</v>
      </c>
      <c r="I23" s="35" t="str">
        <f aca="false">IF(COUNT(D23:H23)=0,"",SUM(D23:H23))</f>
        <v/>
      </c>
      <c r="N23" s="35" t="str">
        <f aca="false">IF(COUNT(J23:M23)=0,"",SUM(J23:M23))</f>
        <v/>
      </c>
      <c r="S23" s="35" t="str">
        <f aca="false">IF(COUNT(O23:R23)=0,"",SUM(O23:R23))</f>
        <v/>
      </c>
      <c r="T23" s="36" t="str">
        <f aca="false">IFERROR(ROUND((I23/25*$E$5 + N23/20*$G$5 + S23/20*$I$5)*100,0),"")</f>
        <v/>
      </c>
    </row>
    <row r="24" customFormat="false" ht="15" hidden="false" customHeight="false" outlineLevel="0" collapsed="false">
      <c r="B24" s="27" t="n">
        <f aca="false">IFERROR(Pipeline!A18,"")</f>
        <v>0</v>
      </c>
      <c r="C24" s="28" t="n">
        <f aca="false">IFERROR(Pipeline!B18,"")</f>
        <v>0</v>
      </c>
      <c r="D24" s="37"/>
      <c r="E24" s="37"/>
      <c r="F24" s="37"/>
      <c r="G24" s="37"/>
      <c r="H24" s="37"/>
      <c r="I24" s="30" t="str">
        <f aca="false">IF(COUNT(D24:H24)=0,"",SUM(D24:H24))</f>
        <v/>
      </c>
      <c r="J24" s="37"/>
      <c r="K24" s="37"/>
      <c r="L24" s="37"/>
      <c r="M24" s="37"/>
      <c r="N24" s="30" t="str">
        <f aca="false">IF(COUNT(J24:M24)=0,"",SUM(J24:M24))</f>
        <v/>
      </c>
      <c r="O24" s="37"/>
      <c r="P24" s="37"/>
      <c r="Q24" s="37"/>
      <c r="R24" s="37"/>
      <c r="S24" s="30" t="str">
        <f aca="false">IF(COUNT(O24:R24)=0,"",SUM(O24:R24))</f>
        <v/>
      </c>
      <c r="T24" s="31" t="str">
        <f aca="false">IFERROR(ROUND((I24/25*$E$5 + N24/20*$G$5 + S24/20*$I$5)*100,0),"")</f>
        <v/>
      </c>
    </row>
    <row r="25" customFormat="false" ht="15" hidden="false" customHeight="false" outlineLevel="0" collapsed="false">
      <c r="B25" s="32" t="n">
        <f aca="false">IFERROR(Pipeline!A19,"")</f>
        <v>0</v>
      </c>
      <c r="C25" s="33" t="n">
        <f aca="false">IFERROR(Pipeline!B19,"")</f>
        <v>0</v>
      </c>
      <c r="I25" s="35" t="str">
        <f aca="false">IF(COUNT(D25:H25)=0,"",SUM(D25:H25))</f>
        <v/>
      </c>
      <c r="N25" s="35" t="str">
        <f aca="false">IF(COUNT(J25:M25)=0,"",SUM(J25:M25))</f>
        <v/>
      </c>
      <c r="S25" s="35" t="str">
        <f aca="false">IF(COUNT(O25:R25)=0,"",SUM(O25:R25))</f>
        <v/>
      </c>
      <c r="T25" s="36" t="str">
        <f aca="false">IFERROR(ROUND((I25/25*$E$5 + N25/20*$G$5 + S25/20*$I$5)*100,0),"")</f>
        <v/>
      </c>
    </row>
    <row r="26" customFormat="false" ht="15" hidden="false" customHeight="false" outlineLevel="0" collapsed="false">
      <c r="B26" s="27" t="n">
        <f aca="false">IFERROR(Pipeline!A20,"")</f>
        <v>0</v>
      </c>
      <c r="C26" s="28" t="n">
        <f aca="false">IFERROR(Pipeline!B20,"")</f>
        <v>0</v>
      </c>
      <c r="D26" s="37"/>
      <c r="E26" s="37"/>
      <c r="F26" s="37"/>
      <c r="G26" s="37"/>
      <c r="H26" s="37"/>
      <c r="I26" s="30" t="str">
        <f aca="false">IF(COUNT(D26:H26)=0,"",SUM(D26:H26))</f>
        <v/>
      </c>
      <c r="J26" s="37"/>
      <c r="K26" s="37"/>
      <c r="L26" s="37"/>
      <c r="M26" s="37"/>
      <c r="N26" s="30" t="str">
        <f aca="false">IF(COUNT(J26:M26)=0,"",SUM(J26:M26))</f>
        <v/>
      </c>
      <c r="O26" s="37"/>
      <c r="P26" s="37"/>
      <c r="Q26" s="37"/>
      <c r="R26" s="37"/>
      <c r="S26" s="30" t="str">
        <f aca="false">IF(COUNT(O26:R26)=0,"",SUM(O26:R26))</f>
        <v/>
      </c>
      <c r="T26" s="31" t="str">
        <f aca="false">IFERROR(ROUND((I26/25*$E$5 + N26/20*$G$5 + S26/20*$I$5)*100,0),"")</f>
        <v/>
      </c>
    </row>
    <row r="27" customFormat="false" ht="15" hidden="false" customHeight="false" outlineLevel="0" collapsed="false">
      <c r="B27" s="32" t="n">
        <f aca="false">IFERROR(Pipeline!A21,"")</f>
        <v>0</v>
      </c>
      <c r="C27" s="33" t="n">
        <f aca="false">IFERROR(Pipeline!B21,"")</f>
        <v>0</v>
      </c>
      <c r="I27" s="35" t="str">
        <f aca="false">IF(COUNT(D27:H27)=0,"",SUM(D27:H27))</f>
        <v/>
      </c>
      <c r="N27" s="35" t="str">
        <f aca="false">IF(COUNT(J27:M27)=0,"",SUM(J27:M27))</f>
        <v/>
      </c>
      <c r="S27" s="35" t="str">
        <f aca="false">IF(COUNT(O27:R27)=0,"",SUM(O27:R27))</f>
        <v/>
      </c>
      <c r="T27" s="36" t="str">
        <f aca="false">IFERROR(ROUND((I27/25*$E$5 + N27/20*$G$5 + S27/20*$I$5)*100,0),"")</f>
        <v/>
      </c>
    </row>
    <row r="28" customFormat="false" ht="15" hidden="false" customHeight="false" outlineLevel="0" collapsed="false">
      <c r="B28" s="27" t="n">
        <f aca="false">IFERROR(Pipeline!A22,"")</f>
        <v>0</v>
      </c>
      <c r="C28" s="28" t="n">
        <f aca="false">IFERROR(Pipeline!B22,"")</f>
        <v>0</v>
      </c>
      <c r="D28" s="37"/>
      <c r="E28" s="37"/>
      <c r="F28" s="37"/>
      <c r="G28" s="37"/>
      <c r="H28" s="37"/>
      <c r="I28" s="30" t="str">
        <f aca="false">IF(COUNT(D28:H28)=0,"",SUM(D28:H28))</f>
        <v/>
      </c>
      <c r="J28" s="37"/>
      <c r="K28" s="37"/>
      <c r="L28" s="37"/>
      <c r="M28" s="37"/>
      <c r="N28" s="30" t="str">
        <f aca="false">IF(COUNT(J28:M28)=0,"",SUM(J28:M28))</f>
        <v/>
      </c>
      <c r="O28" s="37"/>
      <c r="P28" s="37"/>
      <c r="Q28" s="37"/>
      <c r="R28" s="37"/>
      <c r="S28" s="30" t="str">
        <f aca="false">IF(COUNT(O28:R28)=0,"",SUM(O28:R28))</f>
        <v/>
      </c>
      <c r="T28" s="31" t="str">
        <f aca="false">IFERROR(ROUND((I28/25*$E$5 + N28/20*$G$5 + S28/20*$I$5)*100,0),"")</f>
        <v/>
      </c>
    </row>
    <row r="29" customFormat="false" ht="15" hidden="false" customHeight="false" outlineLevel="0" collapsed="false">
      <c r="B29" s="32" t="n">
        <f aca="false">IFERROR(Pipeline!A23,"")</f>
        <v>0</v>
      </c>
      <c r="C29" s="33" t="n">
        <f aca="false">IFERROR(Pipeline!B23,"")</f>
        <v>0</v>
      </c>
      <c r="I29" s="35" t="str">
        <f aca="false">IF(COUNT(D29:H29)=0,"",SUM(D29:H29))</f>
        <v/>
      </c>
      <c r="N29" s="35" t="str">
        <f aca="false">IF(COUNT(J29:M29)=0,"",SUM(J29:M29))</f>
        <v/>
      </c>
      <c r="S29" s="35" t="str">
        <f aca="false">IF(COUNT(O29:R29)=0,"",SUM(O29:R29))</f>
        <v/>
      </c>
      <c r="T29" s="36" t="str">
        <f aca="false">IFERROR(ROUND((I29/25*$E$5 + N29/20*$G$5 + S29/20*$I$5)*100,0),"")</f>
        <v/>
      </c>
    </row>
    <row r="30" customFormat="false" ht="15" hidden="false" customHeight="false" outlineLevel="0" collapsed="false">
      <c r="B30" s="27" t="n">
        <f aca="false">IFERROR(Pipeline!A24,"")</f>
        <v>0</v>
      </c>
      <c r="C30" s="28" t="n">
        <f aca="false">IFERROR(Pipeline!B24,"")</f>
        <v>0</v>
      </c>
      <c r="D30" s="37"/>
      <c r="E30" s="37"/>
      <c r="F30" s="37"/>
      <c r="G30" s="37"/>
      <c r="H30" s="37"/>
      <c r="I30" s="30" t="str">
        <f aca="false">IF(COUNT(D30:H30)=0,"",SUM(D30:H30))</f>
        <v/>
      </c>
      <c r="J30" s="37"/>
      <c r="K30" s="37"/>
      <c r="L30" s="37"/>
      <c r="M30" s="37"/>
      <c r="N30" s="30" t="str">
        <f aca="false">IF(COUNT(J30:M30)=0,"",SUM(J30:M30))</f>
        <v/>
      </c>
      <c r="O30" s="37"/>
      <c r="P30" s="37"/>
      <c r="Q30" s="37"/>
      <c r="R30" s="37"/>
      <c r="S30" s="30" t="str">
        <f aca="false">IF(COUNT(O30:R30)=0,"",SUM(O30:R30))</f>
        <v/>
      </c>
      <c r="T30" s="31" t="str">
        <f aca="false">IFERROR(ROUND((I30/25*$E$5 + N30/20*$G$5 + S30/20*$I$5)*100,0),"")</f>
        <v/>
      </c>
    </row>
    <row r="31" customFormat="false" ht="15" hidden="false" customHeight="false" outlineLevel="0" collapsed="false">
      <c r="B31" s="32" t="n">
        <f aca="false">IFERROR(Pipeline!A25,"")</f>
        <v>0</v>
      </c>
      <c r="C31" s="33" t="n">
        <f aca="false">IFERROR(Pipeline!B25,"")</f>
        <v>0</v>
      </c>
      <c r="I31" s="35" t="str">
        <f aca="false">IF(COUNT(D31:H31)=0,"",SUM(D31:H31))</f>
        <v/>
      </c>
      <c r="N31" s="35" t="str">
        <f aca="false">IF(COUNT(J31:M31)=0,"",SUM(J31:M31))</f>
        <v/>
      </c>
      <c r="S31" s="35" t="str">
        <f aca="false">IF(COUNT(O31:R31)=0,"",SUM(O31:R31))</f>
        <v/>
      </c>
      <c r="T31" s="36" t="str">
        <f aca="false">IFERROR(ROUND((I31/25*$E$5 + N31/20*$G$5 + S31/20*$I$5)*100,0),"")</f>
        <v/>
      </c>
    </row>
    <row r="32" customFormat="false" ht="15" hidden="false" customHeight="false" outlineLevel="0" collapsed="false">
      <c r="B32" s="27" t="n">
        <f aca="false">IFERROR(Pipeline!A26,"")</f>
        <v>0</v>
      </c>
      <c r="C32" s="28" t="n">
        <f aca="false">IFERROR(Pipeline!B26,"")</f>
        <v>0</v>
      </c>
      <c r="D32" s="37"/>
      <c r="E32" s="37"/>
      <c r="F32" s="37"/>
      <c r="G32" s="37"/>
      <c r="H32" s="37"/>
      <c r="I32" s="30" t="str">
        <f aca="false">IF(COUNT(D32:H32)=0,"",SUM(D32:H32))</f>
        <v/>
      </c>
      <c r="J32" s="37"/>
      <c r="K32" s="37"/>
      <c r="L32" s="37"/>
      <c r="M32" s="37"/>
      <c r="N32" s="30" t="str">
        <f aca="false">IF(COUNT(J32:M32)=0,"",SUM(J32:M32))</f>
        <v/>
      </c>
      <c r="O32" s="37"/>
      <c r="P32" s="37"/>
      <c r="Q32" s="37"/>
      <c r="R32" s="37"/>
      <c r="S32" s="30" t="str">
        <f aca="false">IF(COUNT(O32:R32)=0,"",SUM(O32:R32))</f>
        <v/>
      </c>
      <c r="T32" s="31" t="str">
        <f aca="false">IFERROR(ROUND((I32/25*$E$5 + N32/20*$G$5 + S32/20*$I$5)*100,0),"")</f>
        <v/>
      </c>
    </row>
    <row r="33" customFormat="false" ht="15" hidden="false" customHeight="false" outlineLevel="0" collapsed="false">
      <c r="B33" s="32" t="n">
        <f aca="false">IFERROR(Pipeline!A27,"")</f>
        <v>0</v>
      </c>
      <c r="C33" s="33" t="n">
        <f aca="false">IFERROR(Pipeline!B27,"")</f>
        <v>0</v>
      </c>
      <c r="I33" s="35" t="str">
        <f aca="false">IF(COUNT(D33:H33)=0,"",SUM(D33:H33))</f>
        <v/>
      </c>
      <c r="N33" s="35" t="str">
        <f aca="false">IF(COUNT(J33:M33)=0,"",SUM(J33:M33))</f>
        <v/>
      </c>
      <c r="S33" s="35" t="str">
        <f aca="false">IF(COUNT(O33:R33)=0,"",SUM(O33:R33))</f>
        <v/>
      </c>
      <c r="T33" s="36" t="str">
        <f aca="false">IFERROR(ROUND((I33/25*$E$5 + N33/20*$G$5 + S33/20*$I$5)*100,0),"")</f>
        <v/>
      </c>
    </row>
    <row r="34" customFormat="false" ht="15" hidden="false" customHeight="false" outlineLevel="0" collapsed="false">
      <c r="B34" s="27" t="n">
        <f aca="false">IFERROR(Pipeline!A28,"")</f>
        <v>0</v>
      </c>
      <c r="C34" s="28" t="n">
        <f aca="false">IFERROR(Pipeline!B28,"")</f>
        <v>0</v>
      </c>
      <c r="D34" s="37"/>
      <c r="E34" s="37"/>
      <c r="F34" s="37"/>
      <c r="G34" s="37"/>
      <c r="H34" s="37"/>
      <c r="I34" s="30" t="str">
        <f aca="false">IF(COUNT(D34:H34)=0,"",SUM(D34:H34))</f>
        <v/>
      </c>
      <c r="J34" s="37"/>
      <c r="K34" s="37"/>
      <c r="L34" s="37"/>
      <c r="M34" s="37"/>
      <c r="N34" s="30" t="str">
        <f aca="false">IF(COUNT(J34:M34)=0,"",SUM(J34:M34))</f>
        <v/>
      </c>
      <c r="O34" s="37"/>
      <c r="P34" s="37"/>
      <c r="Q34" s="37"/>
      <c r="R34" s="37"/>
      <c r="S34" s="30" t="str">
        <f aca="false">IF(COUNT(O34:R34)=0,"",SUM(O34:R34))</f>
        <v/>
      </c>
      <c r="T34" s="31" t="str">
        <f aca="false">IFERROR(ROUND((I34/25*$E$5 + N34/20*$G$5 + S34/20*$I$5)*100,0),"")</f>
        <v/>
      </c>
    </row>
    <row r="35" customFormat="false" ht="15" hidden="false" customHeight="false" outlineLevel="0" collapsed="false">
      <c r="B35" s="32" t="n">
        <f aca="false">IFERROR(Pipeline!A29,"")</f>
        <v>0</v>
      </c>
      <c r="C35" s="33" t="n">
        <f aca="false">IFERROR(Pipeline!B29,"")</f>
        <v>0</v>
      </c>
      <c r="I35" s="35" t="str">
        <f aca="false">IF(COUNT(D35:H35)=0,"",SUM(D35:H35))</f>
        <v/>
      </c>
      <c r="N35" s="35" t="str">
        <f aca="false">IF(COUNT(J35:M35)=0,"",SUM(J35:M35))</f>
        <v/>
      </c>
      <c r="S35" s="35" t="str">
        <f aca="false">IF(COUNT(O35:R35)=0,"",SUM(O35:R35))</f>
        <v/>
      </c>
      <c r="T35" s="36" t="str">
        <f aca="false">IFERROR(ROUND((I35/25*$E$5 + N35/20*$G$5 + S35/20*$I$5)*100,0),"")</f>
        <v/>
      </c>
    </row>
    <row r="36" customFormat="false" ht="15" hidden="false" customHeight="false" outlineLevel="0" collapsed="false">
      <c r="B36" s="27" t="n">
        <f aca="false">IFERROR(Pipeline!A30,"")</f>
        <v>0</v>
      </c>
      <c r="C36" s="28" t="n">
        <f aca="false">IFERROR(Pipeline!B30,"")</f>
        <v>0</v>
      </c>
      <c r="D36" s="37"/>
      <c r="E36" s="37"/>
      <c r="F36" s="37"/>
      <c r="G36" s="37"/>
      <c r="H36" s="37"/>
      <c r="I36" s="30" t="str">
        <f aca="false">IF(COUNT(D36:H36)=0,"",SUM(D36:H36))</f>
        <v/>
      </c>
      <c r="J36" s="37"/>
      <c r="K36" s="37"/>
      <c r="L36" s="37"/>
      <c r="M36" s="37"/>
      <c r="N36" s="30" t="str">
        <f aca="false">IF(COUNT(J36:M36)=0,"",SUM(J36:M36))</f>
        <v/>
      </c>
      <c r="O36" s="37"/>
      <c r="P36" s="37"/>
      <c r="Q36" s="37"/>
      <c r="R36" s="37"/>
      <c r="S36" s="30" t="str">
        <f aca="false">IF(COUNT(O36:R36)=0,"",SUM(O36:R36))</f>
        <v/>
      </c>
      <c r="T36" s="31" t="str">
        <f aca="false">IFERROR(ROUND((I36/25*$E$5 + N36/20*$G$5 + S36/20*$I$5)*100,0),"")</f>
        <v/>
      </c>
    </row>
    <row r="37" customFormat="false" ht="15" hidden="false" customHeight="false" outlineLevel="0" collapsed="false">
      <c r="B37" s="32" t="n">
        <f aca="false">IFERROR(Pipeline!A31,"")</f>
        <v>0</v>
      </c>
      <c r="C37" s="33" t="n">
        <f aca="false">IFERROR(Pipeline!B31,"")</f>
        <v>0</v>
      </c>
      <c r="I37" s="35" t="str">
        <f aca="false">IF(COUNT(D37:H37)=0,"",SUM(D37:H37))</f>
        <v/>
      </c>
      <c r="N37" s="35" t="str">
        <f aca="false">IF(COUNT(J37:M37)=0,"",SUM(J37:M37))</f>
        <v/>
      </c>
      <c r="S37" s="35" t="str">
        <f aca="false">IF(COUNT(O37:R37)=0,"",SUM(O37:R37))</f>
        <v/>
      </c>
      <c r="T37" s="36" t="str">
        <f aca="false">IFERROR(ROUND((I37/25*$E$5 + N37/20*$G$5 + S37/20*$I$5)*100,0),"")</f>
        <v/>
      </c>
    </row>
    <row r="38" customFormat="false" ht="15" hidden="false" customHeight="false" outlineLevel="0" collapsed="false">
      <c r="B38" s="27" t="n">
        <f aca="false">IFERROR(Pipeline!A32,"")</f>
        <v>0</v>
      </c>
      <c r="C38" s="28" t="n">
        <f aca="false">IFERROR(Pipeline!B32,"")</f>
        <v>0</v>
      </c>
      <c r="D38" s="37"/>
      <c r="E38" s="37"/>
      <c r="F38" s="37"/>
      <c r="G38" s="37"/>
      <c r="H38" s="37"/>
      <c r="I38" s="30" t="str">
        <f aca="false">IF(COUNT(D38:H38)=0,"",SUM(D38:H38))</f>
        <v/>
      </c>
      <c r="J38" s="37"/>
      <c r="K38" s="37"/>
      <c r="L38" s="37"/>
      <c r="M38" s="37"/>
      <c r="N38" s="30" t="str">
        <f aca="false">IF(COUNT(J38:M38)=0,"",SUM(J38:M38))</f>
        <v/>
      </c>
      <c r="O38" s="37"/>
      <c r="P38" s="37"/>
      <c r="Q38" s="37"/>
      <c r="R38" s="37"/>
      <c r="S38" s="30" t="str">
        <f aca="false">IF(COUNT(O38:R38)=0,"",SUM(O38:R38))</f>
        <v/>
      </c>
      <c r="T38" s="31" t="str">
        <f aca="false">IFERROR(ROUND((I38/25*$E$5 + N38/20*$G$5 + S38/20*$I$5)*100,0),"")</f>
        <v/>
      </c>
    </row>
    <row r="39" customFormat="false" ht="15" hidden="false" customHeight="false" outlineLevel="0" collapsed="false">
      <c r="B39" s="32" t="n">
        <f aca="false">IFERROR(Pipeline!A33,"")</f>
        <v>0</v>
      </c>
      <c r="C39" s="33" t="n">
        <f aca="false">IFERROR(Pipeline!B33,"")</f>
        <v>0</v>
      </c>
      <c r="I39" s="35" t="str">
        <f aca="false">IF(COUNT(D39:H39)=0,"",SUM(D39:H39))</f>
        <v/>
      </c>
      <c r="N39" s="35" t="str">
        <f aca="false">IF(COUNT(J39:M39)=0,"",SUM(J39:M39))</f>
        <v/>
      </c>
      <c r="S39" s="35" t="str">
        <f aca="false">IF(COUNT(O39:R39)=0,"",SUM(O39:R39))</f>
        <v/>
      </c>
      <c r="T39" s="36" t="str">
        <f aca="false">IFERROR(ROUND((I39/25*$E$5 + N39/20*$G$5 + S39/20*$I$5)*100,0),"")</f>
        <v/>
      </c>
    </row>
    <row r="40" customFormat="false" ht="15" hidden="false" customHeight="false" outlineLevel="0" collapsed="false">
      <c r="B40" s="27" t="n">
        <f aca="false">IFERROR(Pipeline!A34,"")</f>
        <v>0</v>
      </c>
      <c r="C40" s="28" t="n">
        <f aca="false">IFERROR(Pipeline!B34,"")</f>
        <v>0</v>
      </c>
      <c r="D40" s="37"/>
      <c r="E40" s="37"/>
      <c r="F40" s="37"/>
      <c r="G40" s="37"/>
      <c r="H40" s="37"/>
      <c r="I40" s="30" t="str">
        <f aca="false">IF(COUNT(D40:H40)=0,"",SUM(D40:H40))</f>
        <v/>
      </c>
      <c r="J40" s="37"/>
      <c r="K40" s="37"/>
      <c r="L40" s="37"/>
      <c r="M40" s="37"/>
      <c r="N40" s="30" t="str">
        <f aca="false">IF(COUNT(J40:M40)=0,"",SUM(J40:M40))</f>
        <v/>
      </c>
      <c r="O40" s="37"/>
      <c r="P40" s="37"/>
      <c r="Q40" s="37"/>
      <c r="R40" s="37"/>
      <c r="S40" s="30" t="str">
        <f aca="false">IF(COUNT(O40:R40)=0,"",SUM(O40:R40))</f>
        <v/>
      </c>
      <c r="T40" s="31" t="str">
        <f aca="false">IFERROR(ROUND((I40/25*$E$5 + N40/20*$G$5 + S40/20*$I$5)*100,0),"")</f>
        <v/>
      </c>
    </row>
    <row r="41" customFormat="false" ht="15" hidden="false" customHeight="false" outlineLevel="0" collapsed="false">
      <c r="B41" s="32" t="n">
        <f aca="false">IFERROR(Pipeline!A35,"")</f>
        <v>0</v>
      </c>
      <c r="C41" s="33" t="n">
        <f aca="false">IFERROR(Pipeline!B35,"")</f>
        <v>0</v>
      </c>
      <c r="I41" s="35" t="str">
        <f aca="false">IF(COUNT(D41:H41)=0,"",SUM(D41:H41))</f>
        <v/>
      </c>
      <c r="N41" s="35" t="str">
        <f aca="false">IF(COUNT(J41:M41)=0,"",SUM(J41:M41))</f>
        <v/>
      </c>
      <c r="S41" s="35" t="str">
        <f aca="false">IF(COUNT(O41:R41)=0,"",SUM(O41:R41))</f>
        <v/>
      </c>
      <c r="T41" s="36" t="str">
        <f aca="false">IFERROR(ROUND((I41/25*$E$5 + N41/20*$G$5 + S41/20*$I$5)*100,0),"")</f>
        <v/>
      </c>
    </row>
    <row r="42" customFormat="false" ht="15" hidden="false" customHeight="false" outlineLevel="0" collapsed="false">
      <c r="B42" s="27" t="n">
        <f aca="false">IFERROR(Pipeline!A36,"")</f>
        <v>0</v>
      </c>
      <c r="C42" s="28" t="n">
        <f aca="false">IFERROR(Pipeline!B36,"")</f>
        <v>0</v>
      </c>
      <c r="D42" s="37"/>
      <c r="E42" s="37"/>
      <c r="F42" s="37"/>
      <c r="G42" s="37"/>
      <c r="H42" s="37"/>
      <c r="I42" s="30" t="str">
        <f aca="false">IF(COUNT(D42:H42)=0,"",SUM(D42:H42))</f>
        <v/>
      </c>
      <c r="J42" s="37"/>
      <c r="K42" s="37"/>
      <c r="L42" s="37"/>
      <c r="M42" s="37"/>
      <c r="N42" s="30" t="str">
        <f aca="false">IF(COUNT(J42:M42)=0,"",SUM(J42:M42))</f>
        <v/>
      </c>
      <c r="O42" s="37"/>
      <c r="P42" s="37"/>
      <c r="Q42" s="37"/>
      <c r="R42" s="37"/>
      <c r="S42" s="30" t="str">
        <f aca="false">IF(COUNT(O42:R42)=0,"",SUM(O42:R42))</f>
        <v/>
      </c>
      <c r="T42" s="31" t="str">
        <f aca="false">IFERROR(ROUND((I42/25*$E$5 + N42/20*$G$5 + S42/20*$I$5)*100,0),"")</f>
        <v/>
      </c>
    </row>
    <row r="43" customFormat="false" ht="15" hidden="false" customHeight="false" outlineLevel="0" collapsed="false">
      <c r="B43" s="32" t="n">
        <f aca="false">IFERROR(Pipeline!A37,"")</f>
        <v>0</v>
      </c>
      <c r="C43" s="33" t="n">
        <f aca="false">IFERROR(Pipeline!B37,"")</f>
        <v>0</v>
      </c>
      <c r="I43" s="35" t="str">
        <f aca="false">IF(COUNT(D43:H43)=0,"",SUM(D43:H43))</f>
        <v/>
      </c>
      <c r="N43" s="35" t="str">
        <f aca="false">IF(COUNT(J43:M43)=0,"",SUM(J43:M43))</f>
        <v/>
      </c>
      <c r="S43" s="35" t="str">
        <f aca="false">IF(COUNT(O43:R43)=0,"",SUM(O43:R43))</f>
        <v/>
      </c>
      <c r="T43" s="36" t="str">
        <f aca="false">IFERROR(ROUND((I43/25*$E$5 + N43/20*$G$5 + S43/20*$I$5)*100,0),"")</f>
        <v/>
      </c>
    </row>
    <row r="44" customFormat="false" ht="15" hidden="false" customHeight="false" outlineLevel="0" collapsed="false">
      <c r="B44" s="27" t="n">
        <f aca="false">IFERROR(Pipeline!A38,"")</f>
        <v>0</v>
      </c>
      <c r="C44" s="28" t="n">
        <f aca="false">IFERROR(Pipeline!B38,"")</f>
        <v>0</v>
      </c>
      <c r="D44" s="37"/>
      <c r="E44" s="37"/>
      <c r="F44" s="37"/>
      <c r="G44" s="37"/>
      <c r="H44" s="37"/>
      <c r="I44" s="30" t="str">
        <f aca="false">IF(COUNT(D44:H44)=0,"",SUM(D44:H44))</f>
        <v/>
      </c>
      <c r="J44" s="37"/>
      <c r="K44" s="37"/>
      <c r="L44" s="37"/>
      <c r="M44" s="37"/>
      <c r="N44" s="30" t="str">
        <f aca="false">IF(COUNT(J44:M44)=0,"",SUM(J44:M44))</f>
        <v/>
      </c>
      <c r="O44" s="37"/>
      <c r="P44" s="37"/>
      <c r="Q44" s="37"/>
      <c r="R44" s="37"/>
      <c r="S44" s="30" t="str">
        <f aca="false">IF(COUNT(O44:R44)=0,"",SUM(O44:R44))</f>
        <v/>
      </c>
      <c r="T44" s="31" t="str">
        <f aca="false">IFERROR(ROUND((I44/25*$E$5 + N44/20*$G$5 + S44/20*$I$5)*100,0),"")</f>
        <v/>
      </c>
    </row>
    <row r="45" customFormat="false" ht="15" hidden="false" customHeight="false" outlineLevel="0" collapsed="false">
      <c r="B45" s="32" t="n">
        <f aca="false">IFERROR(Pipeline!A39,"")</f>
        <v>0</v>
      </c>
      <c r="C45" s="33" t="n">
        <f aca="false">IFERROR(Pipeline!B39,"")</f>
        <v>0</v>
      </c>
      <c r="I45" s="35" t="str">
        <f aca="false">IF(COUNT(D45:H45)=0,"",SUM(D45:H45))</f>
        <v/>
      </c>
      <c r="N45" s="35" t="str">
        <f aca="false">IF(COUNT(J45:M45)=0,"",SUM(J45:M45))</f>
        <v/>
      </c>
      <c r="S45" s="35" t="str">
        <f aca="false">IF(COUNT(O45:R45)=0,"",SUM(O45:R45))</f>
        <v/>
      </c>
      <c r="T45" s="36" t="str">
        <f aca="false">IFERROR(ROUND((I45/25*$E$5 + N45/20*$G$5 + S45/20*$I$5)*100,0),"")</f>
        <v/>
      </c>
    </row>
    <row r="46" customFormat="false" ht="15" hidden="false" customHeight="false" outlineLevel="0" collapsed="false">
      <c r="B46" s="27" t="n">
        <f aca="false">IFERROR(Pipeline!A40,"")</f>
        <v>0</v>
      </c>
      <c r="C46" s="28" t="n">
        <f aca="false">IFERROR(Pipeline!B40,"")</f>
        <v>0</v>
      </c>
      <c r="D46" s="37"/>
      <c r="E46" s="37"/>
      <c r="F46" s="37"/>
      <c r="G46" s="37"/>
      <c r="H46" s="37"/>
      <c r="I46" s="30" t="str">
        <f aca="false">IF(COUNT(D46:H46)=0,"",SUM(D46:H46))</f>
        <v/>
      </c>
      <c r="J46" s="37"/>
      <c r="K46" s="37"/>
      <c r="L46" s="37"/>
      <c r="M46" s="37"/>
      <c r="N46" s="30" t="str">
        <f aca="false">IF(COUNT(J46:M46)=0,"",SUM(J46:M46))</f>
        <v/>
      </c>
      <c r="O46" s="37"/>
      <c r="P46" s="37"/>
      <c r="Q46" s="37"/>
      <c r="R46" s="37"/>
      <c r="S46" s="30" t="str">
        <f aca="false">IF(COUNT(O46:R46)=0,"",SUM(O46:R46))</f>
        <v/>
      </c>
      <c r="T46" s="31" t="str">
        <f aca="false">IFERROR(ROUND((I46/25*$E$5 + N46/20*$G$5 + S46/20*$I$5)*100,0),"")</f>
        <v/>
      </c>
    </row>
    <row r="47" customFormat="false" ht="15" hidden="false" customHeight="false" outlineLevel="0" collapsed="false">
      <c r="B47" s="32" t="n">
        <f aca="false">IFERROR(Pipeline!A41,"")</f>
        <v>0</v>
      </c>
      <c r="C47" s="33" t="n">
        <f aca="false">IFERROR(Pipeline!B41,"")</f>
        <v>0</v>
      </c>
      <c r="I47" s="35" t="str">
        <f aca="false">IF(COUNT(D47:H47)=0,"",SUM(D47:H47))</f>
        <v/>
      </c>
      <c r="N47" s="35" t="str">
        <f aca="false">IF(COUNT(J47:M47)=0,"",SUM(J47:M47))</f>
        <v/>
      </c>
      <c r="S47" s="35" t="str">
        <f aca="false">IF(COUNT(O47:R47)=0,"",SUM(O47:R47))</f>
        <v/>
      </c>
      <c r="T47" s="36" t="str">
        <f aca="false">IFERROR(ROUND((I47/25*$E$5 + N47/20*$G$5 + S47/20*$I$5)*100,0),"")</f>
        <v/>
      </c>
    </row>
    <row r="48" customFormat="false" ht="15" hidden="false" customHeight="false" outlineLevel="0" collapsed="false">
      <c r="B48" s="27" t="n">
        <f aca="false">IFERROR(Pipeline!A42,"")</f>
        <v>0</v>
      </c>
      <c r="C48" s="28" t="n">
        <f aca="false">IFERROR(Pipeline!B42,"")</f>
        <v>0</v>
      </c>
      <c r="D48" s="37"/>
      <c r="E48" s="37"/>
      <c r="F48" s="37"/>
      <c r="G48" s="37"/>
      <c r="H48" s="37"/>
      <c r="I48" s="30" t="str">
        <f aca="false">IF(COUNT(D48:H48)=0,"",SUM(D48:H48))</f>
        <v/>
      </c>
      <c r="J48" s="37"/>
      <c r="K48" s="37"/>
      <c r="L48" s="37"/>
      <c r="M48" s="37"/>
      <c r="N48" s="30" t="str">
        <f aca="false">IF(COUNT(J48:M48)=0,"",SUM(J48:M48))</f>
        <v/>
      </c>
      <c r="O48" s="37"/>
      <c r="P48" s="37"/>
      <c r="Q48" s="37"/>
      <c r="R48" s="37"/>
      <c r="S48" s="30" t="str">
        <f aca="false">IF(COUNT(O48:R48)=0,"",SUM(O48:R48))</f>
        <v/>
      </c>
      <c r="T48" s="31" t="str">
        <f aca="false">IFERROR(ROUND((I48/25*$E$5 + N48/20*$G$5 + S48/20*$I$5)*100,0),"")</f>
        <v/>
      </c>
    </row>
    <row r="49" customFormat="false" ht="15" hidden="false" customHeight="false" outlineLevel="0" collapsed="false">
      <c r="B49" s="32" t="n">
        <f aca="false">IFERROR(Pipeline!A43,"")</f>
        <v>0</v>
      </c>
      <c r="C49" s="33" t="n">
        <f aca="false">IFERROR(Pipeline!B43,"")</f>
        <v>0</v>
      </c>
      <c r="I49" s="35" t="str">
        <f aca="false">IF(COUNT(D49:H49)=0,"",SUM(D49:H49))</f>
        <v/>
      </c>
      <c r="N49" s="35" t="str">
        <f aca="false">IF(COUNT(J49:M49)=0,"",SUM(J49:M49))</f>
        <v/>
      </c>
      <c r="S49" s="35" t="str">
        <f aca="false">IF(COUNT(O49:R49)=0,"",SUM(O49:R49))</f>
        <v/>
      </c>
      <c r="T49" s="36" t="str">
        <f aca="false">IFERROR(ROUND((I49/25*$E$5 + N49/20*$G$5 + S49/20*$I$5)*100,0),"")</f>
        <v/>
      </c>
    </row>
    <row r="50" customFormat="false" ht="15" hidden="false" customHeight="false" outlineLevel="0" collapsed="false">
      <c r="B50" s="27" t="n">
        <f aca="false">IFERROR(Pipeline!A44,"")</f>
        <v>0</v>
      </c>
      <c r="C50" s="28" t="n">
        <f aca="false">IFERROR(Pipeline!B44,"")</f>
        <v>0</v>
      </c>
      <c r="D50" s="37"/>
      <c r="E50" s="37"/>
      <c r="F50" s="37"/>
      <c r="G50" s="37"/>
      <c r="H50" s="37"/>
      <c r="I50" s="30" t="str">
        <f aca="false">IF(COUNT(D50:H50)=0,"",SUM(D50:H50))</f>
        <v/>
      </c>
      <c r="J50" s="37"/>
      <c r="K50" s="37"/>
      <c r="L50" s="37"/>
      <c r="M50" s="37"/>
      <c r="N50" s="30" t="str">
        <f aca="false">IF(COUNT(J50:M50)=0,"",SUM(J50:M50))</f>
        <v/>
      </c>
      <c r="O50" s="37"/>
      <c r="P50" s="37"/>
      <c r="Q50" s="37"/>
      <c r="R50" s="37"/>
      <c r="S50" s="30" t="str">
        <f aca="false">IF(COUNT(O50:R50)=0,"",SUM(O50:R50))</f>
        <v/>
      </c>
      <c r="T50" s="31" t="str">
        <f aca="false">IFERROR(ROUND((I50/25*$E$5 + N50/20*$G$5 + S50/20*$I$5)*100,0),"")</f>
        <v/>
      </c>
    </row>
    <row r="51" customFormat="false" ht="15" hidden="false" customHeight="false" outlineLevel="0" collapsed="false">
      <c r="B51" s="32" t="n">
        <f aca="false">IFERROR(Pipeline!A45,"")</f>
        <v>0</v>
      </c>
      <c r="C51" s="33" t="n">
        <f aca="false">IFERROR(Pipeline!B45,"")</f>
        <v>0</v>
      </c>
      <c r="I51" s="35" t="str">
        <f aca="false">IF(COUNT(D51:H51)=0,"",SUM(D51:H51))</f>
        <v/>
      </c>
      <c r="N51" s="35" t="str">
        <f aca="false">IF(COUNT(J51:M51)=0,"",SUM(J51:M51))</f>
        <v/>
      </c>
      <c r="S51" s="35" t="str">
        <f aca="false">IF(COUNT(O51:R51)=0,"",SUM(O51:R51))</f>
        <v/>
      </c>
      <c r="T51" s="36" t="str">
        <f aca="false">IFERROR(ROUND((I51/25*$E$5 + N51/20*$G$5 + S51/20*$I$5)*100,0),"")</f>
        <v/>
      </c>
    </row>
    <row r="52" customFormat="false" ht="15" hidden="false" customHeight="false" outlineLevel="0" collapsed="false">
      <c r="B52" s="27" t="n">
        <f aca="false">IFERROR(Pipeline!A46,"")</f>
        <v>0</v>
      </c>
      <c r="C52" s="28" t="n">
        <f aca="false">IFERROR(Pipeline!B46,"")</f>
        <v>0</v>
      </c>
      <c r="D52" s="37"/>
      <c r="E52" s="37"/>
      <c r="F52" s="37"/>
      <c r="G52" s="37"/>
      <c r="H52" s="37"/>
      <c r="I52" s="30" t="str">
        <f aca="false">IF(COUNT(D52:H52)=0,"",SUM(D52:H52))</f>
        <v/>
      </c>
      <c r="J52" s="37"/>
      <c r="K52" s="37"/>
      <c r="L52" s="37"/>
      <c r="M52" s="37"/>
      <c r="N52" s="30" t="str">
        <f aca="false">IF(COUNT(J52:M52)=0,"",SUM(J52:M52))</f>
        <v/>
      </c>
      <c r="O52" s="37"/>
      <c r="P52" s="37"/>
      <c r="Q52" s="37"/>
      <c r="R52" s="37"/>
      <c r="S52" s="30" t="str">
        <f aca="false">IF(COUNT(O52:R52)=0,"",SUM(O52:R52))</f>
        <v/>
      </c>
      <c r="T52" s="31" t="str">
        <f aca="false">IFERROR(ROUND((I52/25*$E$5 + N52/20*$G$5 + S52/20*$I$5)*100,0),"")</f>
        <v/>
      </c>
    </row>
    <row r="53" customFormat="false" ht="15" hidden="false" customHeight="false" outlineLevel="0" collapsed="false">
      <c r="B53" s="32" t="n">
        <f aca="false">IFERROR(Pipeline!A47,"")</f>
        <v>0</v>
      </c>
      <c r="C53" s="33" t="n">
        <f aca="false">IFERROR(Pipeline!B47,"")</f>
        <v>0</v>
      </c>
      <c r="I53" s="35" t="str">
        <f aca="false">IF(COUNT(D53:H53)=0,"",SUM(D53:H53))</f>
        <v/>
      </c>
      <c r="N53" s="35" t="str">
        <f aca="false">IF(COUNT(J53:M53)=0,"",SUM(J53:M53))</f>
        <v/>
      </c>
      <c r="S53" s="35" t="str">
        <f aca="false">IF(COUNT(O53:R53)=0,"",SUM(O53:R53))</f>
        <v/>
      </c>
      <c r="T53" s="36" t="str">
        <f aca="false">IFERROR(ROUND((I53/25*$E$5 + N53/20*$G$5 + S53/20*$I$5)*100,0),"")</f>
        <v/>
      </c>
    </row>
    <row r="54" customFormat="false" ht="15" hidden="false" customHeight="false" outlineLevel="0" collapsed="false">
      <c r="B54" s="27" t="n">
        <f aca="false">IFERROR(Pipeline!A48,"")</f>
        <v>0</v>
      </c>
      <c r="C54" s="28" t="n">
        <f aca="false">IFERROR(Pipeline!B48,"")</f>
        <v>0</v>
      </c>
      <c r="D54" s="37"/>
      <c r="E54" s="37"/>
      <c r="F54" s="37"/>
      <c r="G54" s="37"/>
      <c r="H54" s="37"/>
      <c r="I54" s="30" t="str">
        <f aca="false">IF(COUNT(D54:H54)=0,"",SUM(D54:H54))</f>
        <v/>
      </c>
      <c r="J54" s="37"/>
      <c r="K54" s="37"/>
      <c r="L54" s="37"/>
      <c r="M54" s="37"/>
      <c r="N54" s="30" t="str">
        <f aca="false">IF(COUNT(J54:M54)=0,"",SUM(J54:M54))</f>
        <v/>
      </c>
      <c r="O54" s="37"/>
      <c r="P54" s="37"/>
      <c r="Q54" s="37"/>
      <c r="R54" s="37"/>
      <c r="S54" s="30" t="str">
        <f aca="false">IF(COUNT(O54:R54)=0,"",SUM(O54:R54))</f>
        <v/>
      </c>
      <c r="T54" s="31" t="str">
        <f aca="false">IFERROR(ROUND((I54/25*$E$5 + N54/20*$G$5 + S54/20*$I$5)*100,0),"")</f>
        <v/>
      </c>
    </row>
    <row r="55" customFormat="false" ht="15" hidden="false" customHeight="false" outlineLevel="0" collapsed="false">
      <c r="B55" s="32" t="n">
        <f aca="false">IFERROR(Pipeline!A49,"")</f>
        <v>0</v>
      </c>
      <c r="C55" s="33" t="n">
        <f aca="false">IFERROR(Pipeline!B49,"")</f>
        <v>0</v>
      </c>
      <c r="I55" s="35" t="str">
        <f aca="false">IF(COUNT(D55:H55)=0,"",SUM(D55:H55))</f>
        <v/>
      </c>
      <c r="N55" s="35" t="str">
        <f aca="false">IF(COUNT(J55:M55)=0,"",SUM(J55:M55))</f>
        <v/>
      </c>
      <c r="S55" s="35" t="str">
        <f aca="false">IF(COUNT(O55:R55)=0,"",SUM(O55:R55))</f>
        <v/>
      </c>
      <c r="T55" s="36" t="str">
        <f aca="false">IFERROR(ROUND((I55/25*$E$5 + N55/20*$G$5 + S55/20*$I$5)*100,0),"")</f>
        <v/>
      </c>
    </row>
    <row r="56" customFormat="false" ht="15" hidden="false" customHeight="false" outlineLevel="0" collapsed="false">
      <c r="B56" s="27" t="n">
        <f aca="false">IFERROR(Pipeline!A50,"")</f>
        <v>0</v>
      </c>
      <c r="C56" s="28" t="n">
        <f aca="false">IFERROR(Pipeline!B50,"")</f>
        <v>0</v>
      </c>
      <c r="D56" s="37"/>
      <c r="E56" s="37"/>
      <c r="F56" s="37"/>
      <c r="G56" s="37"/>
      <c r="H56" s="37"/>
      <c r="I56" s="30" t="str">
        <f aca="false">IF(COUNT(D56:H56)=0,"",SUM(D56:H56))</f>
        <v/>
      </c>
      <c r="J56" s="37"/>
      <c r="K56" s="37"/>
      <c r="L56" s="37"/>
      <c r="M56" s="37"/>
      <c r="N56" s="30" t="str">
        <f aca="false">IF(COUNT(J56:M56)=0,"",SUM(J56:M56))</f>
        <v/>
      </c>
      <c r="O56" s="37"/>
      <c r="P56" s="37"/>
      <c r="Q56" s="37"/>
      <c r="R56" s="37"/>
      <c r="S56" s="30" t="str">
        <f aca="false">IF(COUNT(O56:R56)=0,"",SUM(O56:R56))</f>
        <v/>
      </c>
      <c r="T56" s="31" t="str">
        <f aca="false">IFERROR(ROUND((I56/25*$E$5 + N56/20*$G$5 + S56/20*$I$5)*100,0),"")</f>
        <v/>
      </c>
    </row>
    <row r="57" customFormat="false" ht="15" hidden="false" customHeight="false" outlineLevel="0" collapsed="false">
      <c r="B57" s="32" t="n">
        <f aca="false">IFERROR(Pipeline!A51,"")</f>
        <v>0</v>
      </c>
      <c r="C57" s="33" t="n">
        <f aca="false">IFERROR(Pipeline!B51,"")</f>
        <v>0</v>
      </c>
      <c r="I57" s="35" t="str">
        <f aca="false">IF(COUNT(D57:H57)=0,"",SUM(D57:H57))</f>
        <v/>
      </c>
      <c r="N57" s="35" t="str">
        <f aca="false">IF(COUNT(J57:M57)=0,"",SUM(J57:M57))</f>
        <v/>
      </c>
      <c r="S57" s="35" t="str">
        <f aca="false">IF(COUNT(O57:R57)=0,"",SUM(O57:R57))</f>
        <v/>
      </c>
      <c r="T57" s="36" t="str">
        <f aca="false">IFERROR(ROUND((I57/25*$E$5 + N57/20*$G$5 + S57/20*$I$5)*100,0),"")</f>
        <v/>
      </c>
    </row>
    <row r="62" customFormat="false" ht="15" hidden="false" customHeight="false" outlineLevel="0" collapsed="false">
      <c r="B62" s="4" t="s">
        <v>108</v>
      </c>
    </row>
    <row r="64" customFormat="false" ht="15" hidden="false" customHeight="false" outlineLevel="0" collapsed="false">
      <c r="B64" s="38" t="s">
        <v>109</v>
      </c>
    </row>
    <row r="65" customFormat="false" ht="35.05" hidden="false" customHeight="false" outlineLevel="0" collapsed="false">
      <c r="B65" s="39" t="s">
        <v>110</v>
      </c>
      <c r="C65" s="6" t="s">
        <v>111</v>
      </c>
    </row>
    <row r="66" customFormat="false" ht="23.85" hidden="false" customHeight="false" outlineLevel="0" collapsed="false">
      <c r="B66" s="39" t="s">
        <v>92</v>
      </c>
      <c r="C66" s="6" t="s">
        <v>112</v>
      </c>
    </row>
    <row r="67" customFormat="false" ht="35.05" hidden="false" customHeight="false" outlineLevel="0" collapsed="false">
      <c r="B67" s="39" t="s">
        <v>113</v>
      </c>
      <c r="C67" s="6" t="s">
        <v>114</v>
      </c>
    </row>
    <row r="68" customFormat="false" ht="23.85" hidden="false" customHeight="false" outlineLevel="0" collapsed="false">
      <c r="B68" s="39" t="s">
        <v>115</v>
      </c>
      <c r="C68" s="6" t="s">
        <v>116</v>
      </c>
    </row>
    <row r="69" customFormat="false" ht="23.85" hidden="false" customHeight="false" outlineLevel="0" collapsed="false">
      <c r="B69" s="39" t="s">
        <v>117</v>
      </c>
      <c r="C69" s="6" t="s">
        <v>118</v>
      </c>
    </row>
    <row r="70" customFormat="false" ht="15" hidden="false" customHeight="false" outlineLevel="0" collapsed="false">
      <c r="B70" s="38" t="s">
        <v>119</v>
      </c>
    </row>
    <row r="71" customFormat="false" ht="23.85" hidden="false" customHeight="false" outlineLevel="0" collapsed="false">
      <c r="B71" s="39" t="s">
        <v>120</v>
      </c>
      <c r="C71" s="6" t="s">
        <v>121</v>
      </c>
    </row>
    <row r="72" customFormat="false" ht="35.05" hidden="false" customHeight="false" outlineLevel="0" collapsed="false">
      <c r="B72" s="39" t="s">
        <v>122</v>
      </c>
      <c r="C72" s="6" t="s">
        <v>123</v>
      </c>
    </row>
    <row r="73" customFormat="false" ht="35.05" hidden="false" customHeight="false" outlineLevel="0" collapsed="false">
      <c r="B73" s="39" t="s">
        <v>124</v>
      </c>
      <c r="C73" s="6" t="s">
        <v>125</v>
      </c>
    </row>
    <row r="74" customFormat="false" ht="23.85" hidden="false" customHeight="false" outlineLevel="0" collapsed="false">
      <c r="B74" s="39" t="s">
        <v>126</v>
      </c>
      <c r="C74" s="6" t="s">
        <v>127</v>
      </c>
    </row>
    <row r="75" customFormat="false" ht="15" hidden="false" customHeight="false" outlineLevel="0" collapsed="false">
      <c r="B75" s="38" t="s">
        <v>128</v>
      </c>
    </row>
    <row r="76" customFormat="false" ht="23.85" hidden="false" customHeight="false" outlineLevel="0" collapsed="false">
      <c r="B76" s="39" t="s">
        <v>102</v>
      </c>
      <c r="C76" s="6" t="s">
        <v>129</v>
      </c>
    </row>
    <row r="77" customFormat="false" ht="23.85" hidden="false" customHeight="false" outlineLevel="0" collapsed="false">
      <c r="B77" s="39" t="s">
        <v>130</v>
      </c>
      <c r="C77" s="6" t="s">
        <v>131</v>
      </c>
    </row>
    <row r="78" customFormat="false" ht="23.85" hidden="false" customHeight="false" outlineLevel="0" collapsed="false">
      <c r="B78" s="39" t="s">
        <v>132</v>
      </c>
      <c r="C78" s="6" t="s">
        <v>133</v>
      </c>
    </row>
    <row r="79" customFormat="false" ht="23.85" hidden="false" customHeight="false" outlineLevel="0" collapsed="false">
      <c r="B79" s="39" t="s">
        <v>134</v>
      </c>
      <c r="C79" s="6" t="s">
        <v>135</v>
      </c>
    </row>
  </sheetData>
  <conditionalFormatting sqref="T8:T58">
    <cfRule type="cellIs" priority="2" operator="greaterThanOrEqual" aboveAverage="0" equalAverage="0" bottom="0" percent="0" rank="0" text="" dxfId="3">
      <formula>70</formula>
    </cfRule>
    <cfRule type="cellIs" priority="3" operator="between" aboveAverage="0" equalAverage="0" bottom="0" percent="0" rank="0" text="" dxfId="4">
      <formula>50</formula>
      <formula>69.9999</formula>
    </cfRule>
    <cfRule type="cellIs" priority="4" operator="lessThan" aboveAverage="0" equalAverage="0" bottom="0" percent="0" rank="0" text="" dxfId="5">
      <formula>50</formula>
    </cfRule>
  </conditionalFormatting>
  <dataValidations count="1">
    <dataValidation allowBlank="true" error="La note doit être entre 0 et 5." errorStyle="stop" errorTitle="Note invalide" operator="between" showDropDown="false" showErrorMessage="false" showInputMessage="false" sqref="D8:H58 J8:M58 O8:R58" type="whole">
      <formula1>0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70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2" t="s">
        <v>136</v>
      </c>
      <c r="B1" s="12" t="s">
        <v>137</v>
      </c>
      <c r="C1" s="12" t="s">
        <v>138</v>
      </c>
      <c r="D1" s="12" t="s">
        <v>139</v>
      </c>
      <c r="E1" s="12" t="s">
        <v>140</v>
      </c>
      <c r="F1" s="12" t="s">
        <v>141</v>
      </c>
    </row>
    <row r="2" customFormat="false" ht="24" hidden="false" customHeight="true" outlineLevel="0" collapsed="false">
      <c r="A2" s="40" t="s">
        <v>51</v>
      </c>
      <c r="B2" s="40" t="s">
        <v>43</v>
      </c>
      <c r="C2" s="41" t="str">
        <f aca="false">IFERROR(VLOOKUP(B2,Pipeline!$A$2:$B$500,2,FALSE()),"")</f>
        <v>Dr. Marie Lemaire</v>
      </c>
      <c r="D2" s="28" t="s">
        <v>142</v>
      </c>
      <c r="E2" s="42" t="s">
        <v>143</v>
      </c>
      <c r="F2" s="28" t="s">
        <v>56</v>
      </c>
    </row>
    <row r="3" customFormat="false" ht="24" hidden="false" customHeight="true" outlineLevel="0" collapsed="false">
      <c r="A3" s="43" t="s">
        <v>64</v>
      </c>
      <c r="B3" s="43" t="s">
        <v>43</v>
      </c>
      <c r="C3" s="41" t="str">
        <f aca="false">IFERROR(VLOOKUP(B3,Pipeline!$A$2:$B$500,2,FALSE()),"")</f>
        <v>Dr. Marie Lemaire</v>
      </c>
      <c r="D3" s="33" t="s">
        <v>144</v>
      </c>
      <c r="E3" s="44" t="s">
        <v>145</v>
      </c>
      <c r="F3" s="33" t="s">
        <v>56</v>
      </c>
    </row>
    <row r="4" customFormat="false" ht="24" hidden="false" customHeight="true" outlineLevel="0" collapsed="false">
      <c r="A4" s="40" t="s">
        <v>146</v>
      </c>
      <c r="B4" s="40" t="s">
        <v>43</v>
      </c>
      <c r="C4" s="41" t="str">
        <f aca="false">IFERROR(VLOOKUP(B4,Pipeline!$A$2:$B$500,2,FALSE()),"")</f>
        <v>Dr. Marie Lemaire</v>
      </c>
      <c r="D4" s="28" t="s">
        <v>147</v>
      </c>
      <c r="E4" s="42" t="s">
        <v>148</v>
      </c>
      <c r="F4" s="28" t="s">
        <v>149</v>
      </c>
    </row>
    <row r="5" customFormat="false" ht="24" hidden="false" customHeight="true" outlineLevel="0" collapsed="false">
      <c r="A5" s="43" t="s">
        <v>53</v>
      </c>
      <c r="B5" s="43" t="s">
        <v>43</v>
      </c>
      <c r="C5" s="41" t="str">
        <f aca="false">IFERROR(VLOOKUP(B5,Pipeline!$A$2:$B$500,2,FALSE()),"")</f>
        <v>Dr. Marie Lemaire</v>
      </c>
      <c r="D5" s="33" t="s">
        <v>150</v>
      </c>
      <c r="E5" s="44" t="s">
        <v>151</v>
      </c>
      <c r="F5" s="33" t="s">
        <v>56</v>
      </c>
    </row>
    <row r="6" customFormat="false" ht="24" hidden="false" customHeight="true" outlineLevel="0" collapsed="false">
      <c r="A6" s="40" t="s">
        <v>64</v>
      </c>
      <c r="B6" s="40" t="s">
        <v>58</v>
      </c>
      <c r="C6" s="41" t="str">
        <f aca="false">IFERROR(VLOOKUP(B6,Pipeline!$A$2:$B$500,2,FALSE()),"")</f>
        <v>Dr. Antoine Roussel</v>
      </c>
      <c r="D6" s="28" t="s">
        <v>142</v>
      </c>
      <c r="E6" s="42" t="s">
        <v>152</v>
      </c>
      <c r="F6" s="28" t="s">
        <v>56</v>
      </c>
    </row>
    <row r="7" customFormat="false" ht="24" hidden="false" customHeight="true" outlineLevel="0" collapsed="false">
      <c r="A7" s="43" t="s">
        <v>77</v>
      </c>
      <c r="B7" s="43" t="s">
        <v>70</v>
      </c>
      <c r="C7" s="41" t="str">
        <f aca="false">IFERROR(VLOOKUP(B7,Pipeline!$A$2:$B$500,2,FALSE()),"")</f>
        <v>Dr. Camille Bonnet</v>
      </c>
      <c r="D7" s="33" t="s">
        <v>153</v>
      </c>
      <c r="E7" s="44" t="s">
        <v>154</v>
      </c>
      <c r="F7" s="33" t="s">
        <v>81</v>
      </c>
    </row>
    <row r="8" customFormat="false" ht="24" hidden="false" customHeight="true" outlineLevel="0" collapsed="false">
      <c r="C8" s="41" t="str">
        <f aca="false">IFERROR(VLOOKUP(B8,Pipeline!$A$2:$B$500,2,FALSE()),"")</f>
        <v/>
      </c>
    </row>
    <row r="9" customFormat="false" ht="24" hidden="false" customHeight="true" outlineLevel="0" collapsed="false">
      <c r="C9" s="41" t="str">
        <f aca="false">IFERROR(VLOOKUP(B9,Pipeline!$A$2:$B$500,2,FALSE()),"")</f>
        <v/>
      </c>
    </row>
    <row r="10" customFormat="false" ht="24" hidden="false" customHeight="true" outlineLevel="0" collapsed="false">
      <c r="C10" s="41" t="str">
        <f aca="false">IFERROR(VLOOKUP(B10,Pipeline!$A$2:$B$500,2,FALSE()),"")</f>
        <v/>
      </c>
    </row>
    <row r="11" customFormat="false" ht="24" hidden="false" customHeight="true" outlineLevel="0" collapsed="false">
      <c r="C11" s="41" t="str">
        <f aca="false">IFERROR(VLOOKUP(B11,Pipeline!$A$2:$B$500,2,FALSE()),"")</f>
        <v/>
      </c>
    </row>
    <row r="12" customFormat="false" ht="24" hidden="false" customHeight="true" outlineLevel="0" collapsed="false">
      <c r="C12" s="41" t="str">
        <f aca="false">IFERROR(VLOOKUP(B12,Pipeline!$A$2:$B$500,2,FALSE()),"")</f>
        <v/>
      </c>
    </row>
    <row r="13" customFormat="false" ht="24" hidden="false" customHeight="true" outlineLevel="0" collapsed="false">
      <c r="C13" s="41" t="str">
        <f aca="false">IFERROR(VLOOKUP(B13,Pipeline!$A$2:$B$500,2,FALSE()),"")</f>
        <v/>
      </c>
    </row>
    <row r="14" customFormat="false" ht="24" hidden="false" customHeight="true" outlineLevel="0" collapsed="false">
      <c r="C14" s="41" t="str">
        <f aca="false">IFERROR(VLOOKUP(B14,Pipeline!$A$2:$B$500,2,FALSE()),"")</f>
        <v/>
      </c>
    </row>
    <row r="15" customFormat="false" ht="24" hidden="false" customHeight="true" outlineLevel="0" collapsed="false">
      <c r="C15" s="41" t="str">
        <f aca="false">IFERROR(VLOOKUP(B15,Pipeline!$A$2:$B$500,2,FALSE()),"")</f>
        <v/>
      </c>
    </row>
    <row r="16" customFormat="false" ht="24" hidden="false" customHeight="true" outlineLevel="0" collapsed="false">
      <c r="C16" s="41" t="str">
        <f aca="false">IFERROR(VLOOKUP(B16,Pipeline!$A$2:$B$500,2,FALSE()),"")</f>
        <v/>
      </c>
    </row>
    <row r="17" customFormat="false" ht="24" hidden="false" customHeight="true" outlineLevel="0" collapsed="false">
      <c r="C17" s="41" t="str">
        <f aca="false">IFERROR(VLOOKUP(B17,Pipeline!$A$2:$B$500,2,FALSE()),"")</f>
        <v/>
      </c>
    </row>
    <row r="18" customFormat="false" ht="24" hidden="false" customHeight="true" outlineLevel="0" collapsed="false">
      <c r="C18" s="41" t="str">
        <f aca="false">IFERROR(VLOOKUP(B18,Pipeline!$A$2:$B$500,2,FALSE()),"")</f>
        <v/>
      </c>
    </row>
    <row r="19" customFormat="false" ht="24" hidden="false" customHeight="true" outlineLevel="0" collapsed="false">
      <c r="C19" s="41" t="str">
        <f aca="false">IFERROR(VLOOKUP(B19,Pipeline!$A$2:$B$500,2,FALSE()),"")</f>
        <v/>
      </c>
    </row>
    <row r="20" customFormat="false" ht="24" hidden="false" customHeight="true" outlineLevel="0" collapsed="false">
      <c r="C20" s="41" t="str">
        <f aca="false">IFERROR(VLOOKUP(B20,Pipeline!$A$2:$B$500,2,FALSE()),"")</f>
        <v/>
      </c>
    </row>
    <row r="21" customFormat="false" ht="24" hidden="false" customHeight="true" outlineLevel="0" collapsed="false">
      <c r="C21" s="41" t="str">
        <f aca="false">IFERROR(VLOOKUP(B21,Pipeline!$A$2:$B$500,2,FALSE()),"")</f>
        <v/>
      </c>
    </row>
    <row r="22" customFormat="false" ht="24" hidden="false" customHeight="true" outlineLevel="0" collapsed="false">
      <c r="C22" s="41" t="str">
        <f aca="false">IFERROR(VLOOKUP(B22,Pipeline!$A$2:$B$500,2,FALSE()),"")</f>
        <v/>
      </c>
    </row>
    <row r="23" customFormat="false" ht="24" hidden="false" customHeight="true" outlineLevel="0" collapsed="false">
      <c r="C23" s="41" t="str">
        <f aca="false">IFERROR(VLOOKUP(B23,Pipeline!$A$2:$B$500,2,FALSE()),"")</f>
        <v/>
      </c>
    </row>
    <row r="24" customFormat="false" ht="24" hidden="false" customHeight="true" outlineLevel="0" collapsed="false">
      <c r="C24" s="41" t="str">
        <f aca="false">IFERROR(VLOOKUP(B24,Pipeline!$A$2:$B$500,2,FALSE()),"")</f>
        <v/>
      </c>
    </row>
    <row r="25" customFormat="false" ht="24" hidden="false" customHeight="true" outlineLevel="0" collapsed="false">
      <c r="C25" s="41" t="str">
        <f aca="false">IFERROR(VLOOKUP(B25,Pipeline!$A$2:$B$500,2,FALSE()),"")</f>
        <v/>
      </c>
    </row>
    <row r="26" customFormat="false" ht="24" hidden="false" customHeight="true" outlineLevel="0" collapsed="false">
      <c r="C26" s="41" t="str">
        <f aca="false">IFERROR(VLOOKUP(B26,Pipeline!$A$2:$B$500,2,FALSE()),"")</f>
        <v/>
      </c>
    </row>
    <row r="27" customFormat="false" ht="24" hidden="false" customHeight="true" outlineLevel="0" collapsed="false">
      <c r="C27" s="41" t="str">
        <f aca="false">IFERROR(VLOOKUP(B27,Pipeline!$A$2:$B$500,2,FALSE()),"")</f>
        <v/>
      </c>
    </row>
    <row r="28" customFormat="false" ht="24" hidden="false" customHeight="true" outlineLevel="0" collapsed="false">
      <c r="C28" s="41" t="str">
        <f aca="false">IFERROR(VLOOKUP(B28,Pipeline!$A$2:$B$500,2,FALSE()),"")</f>
        <v/>
      </c>
    </row>
    <row r="29" customFormat="false" ht="24" hidden="false" customHeight="true" outlineLevel="0" collapsed="false">
      <c r="C29" s="41" t="str">
        <f aca="false">IFERROR(VLOOKUP(B29,Pipeline!$A$2:$B$500,2,FALSE()),"")</f>
        <v/>
      </c>
    </row>
    <row r="30" customFormat="false" ht="15" hidden="false" customHeight="false" outlineLevel="0" collapsed="false">
      <c r="C30" s="41" t="str">
        <f aca="false">IFERROR(VLOOKUP(B30,Pipeline!$A$2:$B$500,2,FALSE()),"")</f>
        <v/>
      </c>
    </row>
    <row r="31" customFormat="false" ht="15" hidden="false" customHeight="false" outlineLevel="0" collapsed="false">
      <c r="C31" s="41" t="str">
        <f aca="false">IFERROR(VLOOKUP(B31,Pipeline!$A$2:$B$500,2,FALSE()),"")</f>
        <v/>
      </c>
    </row>
    <row r="32" customFormat="false" ht="15" hidden="false" customHeight="false" outlineLevel="0" collapsed="false">
      <c r="C32" s="41" t="str">
        <f aca="false">IFERROR(VLOOKUP(B32,Pipeline!$A$2:$B$500,2,FALSE()),"")</f>
        <v/>
      </c>
    </row>
    <row r="33" customFormat="false" ht="15" hidden="false" customHeight="false" outlineLevel="0" collapsed="false">
      <c r="C33" s="41" t="str">
        <f aca="false">IFERROR(VLOOKUP(B33,Pipeline!$A$2:$B$500,2,FALSE()),"")</f>
        <v/>
      </c>
    </row>
    <row r="34" customFormat="false" ht="15" hidden="false" customHeight="false" outlineLevel="0" collapsed="false">
      <c r="C34" s="41" t="str">
        <f aca="false">IFERROR(VLOOKUP(B34,Pipeline!$A$2:$B$500,2,FALSE()),"")</f>
        <v/>
      </c>
    </row>
    <row r="35" customFormat="false" ht="15" hidden="false" customHeight="false" outlineLevel="0" collapsed="false">
      <c r="C35" s="41" t="str">
        <f aca="false">IFERROR(VLOOKUP(B35,Pipeline!$A$2:$B$500,2,FALSE()),"")</f>
        <v/>
      </c>
    </row>
    <row r="36" customFormat="false" ht="15" hidden="false" customHeight="false" outlineLevel="0" collapsed="false">
      <c r="C36" s="41" t="str">
        <f aca="false">IFERROR(VLOOKUP(B36,Pipeline!$A$2:$B$500,2,FALSE()),"")</f>
        <v/>
      </c>
    </row>
    <row r="37" customFormat="false" ht="15" hidden="false" customHeight="false" outlineLevel="0" collapsed="false">
      <c r="C37" s="41" t="str">
        <f aca="false">IFERROR(VLOOKUP(B37,Pipeline!$A$2:$B$500,2,FALSE()),"")</f>
        <v/>
      </c>
    </row>
    <row r="38" customFormat="false" ht="15" hidden="false" customHeight="false" outlineLevel="0" collapsed="false">
      <c r="C38" s="41" t="str">
        <f aca="false">IFERROR(VLOOKUP(B38,Pipeline!$A$2:$B$500,2,FALSE()),"")</f>
        <v/>
      </c>
    </row>
    <row r="39" customFormat="false" ht="15" hidden="false" customHeight="false" outlineLevel="0" collapsed="false">
      <c r="C39" s="41" t="str">
        <f aca="false">IFERROR(VLOOKUP(B39,Pipeline!$A$2:$B$500,2,FALSE()),"")</f>
        <v/>
      </c>
    </row>
    <row r="40" customFormat="false" ht="15" hidden="false" customHeight="false" outlineLevel="0" collapsed="false">
      <c r="C40" s="41" t="str">
        <f aca="false">IFERROR(VLOOKUP(B40,Pipeline!$A$2:$B$500,2,FALSE()),"")</f>
        <v/>
      </c>
    </row>
    <row r="41" customFormat="false" ht="15" hidden="false" customHeight="false" outlineLevel="0" collapsed="false">
      <c r="C41" s="41" t="str">
        <f aca="false">IFERROR(VLOOKUP(B41,Pipeline!$A$2:$B$500,2,FALSE()),"")</f>
        <v/>
      </c>
    </row>
    <row r="42" customFormat="false" ht="15" hidden="false" customHeight="false" outlineLevel="0" collapsed="false">
      <c r="C42" s="41" t="str">
        <f aca="false">IFERROR(VLOOKUP(B42,Pipeline!$A$2:$B$500,2,FALSE()),"")</f>
        <v/>
      </c>
    </row>
    <row r="43" customFormat="false" ht="15" hidden="false" customHeight="false" outlineLevel="0" collapsed="false">
      <c r="C43" s="41" t="str">
        <f aca="false">IFERROR(VLOOKUP(B43,Pipeline!$A$2:$B$500,2,FALSE()),"")</f>
        <v/>
      </c>
    </row>
    <row r="44" customFormat="false" ht="15" hidden="false" customHeight="false" outlineLevel="0" collapsed="false">
      <c r="C44" s="41" t="str">
        <f aca="false">IFERROR(VLOOKUP(B44,Pipeline!$A$2:$B$500,2,FALSE()),"")</f>
        <v/>
      </c>
    </row>
    <row r="45" customFormat="false" ht="15" hidden="false" customHeight="false" outlineLevel="0" collapsed="false">
      <c r="C45" s="41" t="str">
        <f aca="false">IFERROR(VLOOKUP(B45,Pipeline!$A$2:$B$500,2,FALSE()),"")</f>
        <v/>
      </c>
    </row>
    <row r="46" customFormat="false" ht="15" hidden="false" customHeight="false" outlineLevel="0" collapsed="false">
      <c r="C46" s="41" t="str">
        <f aca="false">IFERROR(VLOOKUP(B46,Pipeline!$A$2:$B$500,2,FALSE()),"")</f>
        <v/>
      </c>
    </row>
    <row r="47" customFormat="false" ht="15" hidden="false" customHeight="false" outlineLevel="0" collapsed="false">
      <c r="C47" s="41" t="str">
        <f aca="false">IFERROR(VLOOKUP(B47,Pipeline!$A$2:$B$500,2,FALSE()),"")</f>
        <v/>
      </c>
    </row>
    <row r="48" customFormat="false" ht="15" hidden="false" customHeight="false" outlineLevel="0" collapsed="false">
      <c r="C48" s="41" t="str">
        <f aca="false">IFERROR(VLOOKUP(B48,Pipeline!$A$2:$B$500,2,FALSE()),"")</f>
        <v/>
      </c>
    </row>
    <row r="49" customFormat="false" ht="15" hidden="false" customHeight="false" outlineLevel="0" collapsed="false">
      <c r="C49" s="41" t="str">
        <f aca="false">IFERROR(VLOOKUP(B49,Pipeline!$A$2:$B$500,2,FALSE()),"")</f>
        <v/>
      </c>
    </row>
    <row r="50" customFormat="false" ht="15" hidden="false" customHeight="false" outlineLevel="0" collapsed="false">
      <c r="C50" s="41" t="str">
        <f aca="false">IFERROR(VLOOKUP(B50,Pipeline!$A$2:$B$500,2,FALSE()),"")</f>
        <v/>
      </c>
    </row>
    <row r="51" customFormat="false" ht="15" hidden="false" customHeight="false" outlineLevel="0" collapsed="false">
      <c r="C51" s="41" t="str">
        <f aca="false">IFERROR(VLOOKUP(B51,Pipeline!$A$2:$B$500,2,FALSE()),"")</f>
        <v/>
      </c>
    </row>
    <row r="52" customFormat="false" ht="15" hidden="false" customHeight="false" outlineLevel="0" collapsed="false">
      <c r="C52" s="41" t="str">
        <f aca="false">IFERROR(VLOOKUP(B52,Pipeline!$A$2:$B$500,2,FALSE()),"")</f>
        <v/>
      </c>
    </row>
    <row r="53" customFormat="false" ht="15" hidden="false" customHeight="false" outlineLevel="0" collapsed="false">
      <c r="C53" s="41" t="str">
        <f aca="false">IFERROR(VLOOKUP(B53,Pipeline!$A$2:$B$500,2,FALSE()),"")</f>
        <v/>
      </c>
    </row>
    <row r="54" customFormat="false" ht="15" hidden="false" customHeight="false" outlineLevel="0" collapsed="false">
      <c r="C54" s="41" t="str">
        <f aca="false">IFERROR(VLOOKUP(B54,Pipeline!$A$2:$B$500,2,FALSE()),"")</f>
        <v/>
      </c>
    </row>
    <row r="55" customFormat="false" ht="15" hidden="false" customHeight="false" outlineLevel="0" collapsed="false">
      <c r="C55" s="41" t="str">
        <f aca="false">IFERROR(VLOOKUP(B55,Pipeline!$A$2:$B$500,2,FALSE()),"")</f>
        <v/>
      </c>
    </row>
    <row r="56" customFormat="false" ht="15" hidden="false" customHeight="false" outlineLevel="0" collapsed="false">
      <c r="C56" s="41" t="str">
        <f aca="false">IFERROR(VLOOKUP(B56,Pipeline!$A$2:$B$500,2,FALSE()),"")</f>
        <v/>
      </c>
    </row>
    <row r="57" customFormat="false" ht="15" hidden="false" customHeight="false" outlineLevel="0" collapsed="false">
      <c r="C57" s="41" t="str">
        <f aca="false">IFERROR(VLOOKUP(B57,Pipeline!$A$2:$B$500,2,FALSE()),"")</f>
        <v/>
      </c>
    </row>
    <row r="58" customFormat="false" ht="15" hidden="false" customHeight="false" outlineLevel="0" collapsed="false">
      <c r="C58" s="41" t="str">
        <f aca="false">IFERROR(VLOOKUP(B58,Pipeline!$A$2:$B$500,2,FALSE()),"")</f>
        <v/>
      </c>
    </row>
    <row r="59" customFormat="false" ht="15" hidden="false" customHeight="false" outlineLevel="0" collapsed="false">
      <c r="C59" s="41" t="str">
        <f aca="false">IFERROR(VLOOKUP(B59,Pipeline!$A$2:$B$500,2,FALSE()),"")</f>
        <v/>
      </c>
    </row>
    <row r="60" customFormat="false" ht="15" hidden="false" customHeight="false" outlineLevel="0" collapsed="false">
      <c r="C60" s="41" t="str">
        <f aca="false">IFERROR(VLOOKUP(B60,Pipeline!$A$2:$B$500,2,FALSE()),"")</f>
        <v/>
      </c>
    </row>
    <row r="61" customFormat="false" ht="15" hidden="false" customHeight="false" outlineLevel="0" collapsed="false">
      <c r="C61" s="41" t="str">
        <f aca="false">IFERROR(VLOOKUP(B61,Pipeline!$A$2:$B$500,2,FALSE()),"")</f>
        <v/>
      </c>
    </row>
    <row r="62" customFormat="false" ht="15" hidden="false" customHeight="false" outlineLevel="0" collapsed="false">
      <c r="C62" s="41" t="str">
        <f aca="false">IFERROR(VLOOKUP(B62,Pipeline!$A$2:$B$500,2,FALSE()),"")</f>
        <v/>
      </c>
    </row>
    <row r="63" customFormat="false" ht="15" hidden="false" customHeight="false" outlineLevel="0" collapsed="false">
      <c r="C63" s="41" t="str">
        <f aca="false">IFERROR(VLOOKUP(B63,Pipeline!$A$2:$B$500,2,FALSE()),"")</f>
        <v/>
      </c>
    </row>
    <row r="64" customFormat="false" ht="15" hidden="false" customHeight="false" outlineLevel="0" collapsed="false">
      <c r="C64" s="41" t="str">
        <f aca="false">IFERROR(VLOOKUP(B64,Pipeline!$A$2:$B$500,2,FALSE()),"")</f>
        <v/>
      </c>
    </row>
    <row r="65" customFormat="false" ht="15" hidden="false" customHeight="false" outlineLevel="0" collapsed="false">
      <c r="C65" s="41" t="str">
        <f aca="false">IFERROR(VLOOKUP(B65,Pipeline!$A$2:$B$500,2,FALSE()),"")</f>
        <v/>
      </c>
    </row>
    <row r="66" customFormat="false" ht="15" hidden="false" customHeight="false" outlineLevel="0" collapsed="false">
      <c r="C66" s="41" t="str">
        <f aca="false">IFERROR(VLOOKUP(B66,Pipeline!$A$2:$B$500,2,FALSE()),"")</f>
        <v/>
      </c>
    </row>
    <row r="67" customFormat="false" ht="15" hidden="false" customHeight="false" outlineLevel="0" collapsed="false">
      <c r="C67" s="41" t="str">
        <f aca="false">IFERROR(VLOOKUP(B67,Pipeline!$A$2:$B$500,2,FALSE()),"")</f>
        <v/>
      </c>
    </row>
    <row r="68" customFormat="false" ht="15" hidden="false" customHeight="false" outlineLevel="0" collapsed="false">
      <c r="C68" s="41" t="str">
        <f aca="false">IFERROR(VLOOKUP(B68,Pipeline!$A$2:$B$500,2,FALSE()),"")</f>
        <v/>
      </c>
    </row>
    <row r="69" customFormat="false" ht="15" hidden="false" customHeight="false" outlineLevel="0" collapsed="false">
      <c r="C69" s="41" t="str">
        <f aca="false">IFERROR(VLOOKUP(B69,Pipeline!$A$2:$B$500,2,FALSE()),"")</f>
        <v/>
      </c>
    </row>
    <row r="70" customFormat="false" ht="15" hidden="false" customHeight="false" outlineLevel="0" collapsed="false">
      <c r="C70" s="41" t="str">
        <f aca="false">IFERROR(VLOOKUP(B70,Pipeline!$A$2:$B$500,2,FALSE()),"")</f>
        <v/>
      </c>
    </row>
    <row r="71" customFormat="false" ht="15" hidden="false" customHeight="false" outlineLevel="0" collapsed="false">
      <c r="C71" s="41" t="str">
        <f aca="false">IFERROR(VLOOKUP(B71,Pipeline!$A$2:$B$500,2,FALSE()),"")</f>
        <v/>
      </c>
    </row>
    <row r="72" customFormat="false" ht="15" hidden="false" customHeight="false" outlineLevel="0" collapsed="false">
      <c r="C72" s="41" t="str">
        <f aca="false">IFERROR(VLOOKUP(B72,Pipeline!$A$2:$B$500,2,FALSE()),"")</f>
        <v/>
      </c>
    </row>
    <row r="73" customFormat="false" ht="15" hidden="false" customHeight="false" outlineLevel="0" collapsed="false">
      <c r="C73" s="41" t="str">
        <f aca="false">IFERROR(VLOOKUP(B73,Pipeline!$A$2:$B$500,2,FALSE()),"")</f>
        <v/>
      </c>
    </row>
    <row r="74" customFormat="false" ht="15" hidden="false" customHeight="false" outlineLevel="0" collapsed="false">
      <c r="C74" s="41" t="str">
        <f aca="false">IFERROR(VLOOKUP(B74,Pipeline!$A$2:$B$500,2,FALSE()),"")</f>
        <v/>
      </c>
    </row>
    <row r="75" customFormat="false" ht="15" hidden="false" customHeight="false" outlineLevel="0" collapsed="false">
      <c r="C75" s="41" t="str">
        <f aca="false">IFERROR(VLOOKUP(B75,Pipeline!$A$2:$B$500,2,FALSE()),"")</f>
        <v/>
      </c>
    </row>
    <row r="76" customFormat="false" ht="15" hidden="false" customHeight="false" outlineLevel="0" collapsed="false">
      <c r="C76" s="41" t="str">
        <f aca="false">IFERROR(VLOOKUP(B76,Pipeline!$A$2:$B$500,2,FALSE()),"")</f>
        <v/>
      </c>
    </row>
    <row r="77" customFormat="false" ht="15" hidden="false" customHeight="false" outlineLevel="0" collapsed="false">
      <c r="C77" s="41" t="str">
        <f aca="false">IFERROR(VLOOKUP(B77,Pipeline!$A$2:$B$500,2,FALSE()),"")</f>
        <v/>
      </c>
    </row>
    <row r="78" customFormat="false" ht="15" hidden="false" customHeight="false" outlineLevel="0" collapsed="false">
      <c r="C78" s="41" t="str">
        <f aca="false">IFERROR(VLOOKUP(B78,Pipeline!$A$2:$B$500,2,FALSE()),"")</f>
        <v/>
      </c>
    </row>
    <row r="79" customFormat="false" ht="15" hidden="false" customHeight="false" outlineLevel="0" collapsed="false">
      <c r="C79" s="41" t="str">
        <f aca="false">IFERROR(VLOOKUP(B79,Pipeline!$A$2:$B$500,2,FALSE()),"")</f>
        <v/>
      </c>
    </row>
    <row r="80" customFormat="false" ht="15" hidden="false" customHeight="false" outlineLevel="0" collapsed="false">
      <c r="C80" s="41" t="str">
        <f aca="false">IFERROR(VLOOKUP(B80,Pipeline!$A$2:$B$500,2,FALSE()),"")</f>
        <v/>
      </c>
    </row>
    <row r="81" customFormat="false" ht="15" hidden="false" customHeight="false" outlineLevel="0" collapsed="false">
      <c r="C81" s="41" t="str">
        <f aca="false">IFERROR(VLOOKUP(B81,Pipeline!$A$2:$B$500,2,FALSE()),"")</f>
        <v/>
      </c>
    </row>
    <row r="82" customFormat="false" ht="15" hidden="false" customHeight="false" outlineLevel="0" collapsed="false">
      <c r="C82" s="41" t="str">
        <f aca="false">IFERROR(VLOOKUP(B82,Pipeline!$A$2:$B$500,2,FALSE()),"")</f>
        <v/>
      </c>
    </row>
    <row r="83" customFormat="false" ht="15" hidden="false" customHeight="false" outlineLevel="0" collapsed="false">
      <c r="C83" s="41" t="str">
        <f aca="false">IFERROR(VLOOKUP(B83,Pipeline!$A$2:$B$500,2,FALSE()),"")</f>
        <v/>
      </c>
    </row>
    <row r="84" customFormat="false" ht="15" hidden="false" customHeight="false" outlineLevel="0" collapsed="false">
      <c r="C84" s="41" t="str">
        <f aca="false">IFERROR(VLOOKUP(B84,Pipeline!$A$2:$B$500,2,FALSE()),"")</f>
        <v/>
      </c>
    </row>
    <row r="85" customFormat="false" ht="15" hidden="false" customHeight="false" outlineLevel="0" collapsed="false">
      <c r="C85" s="41" t="str">
        <f aca="false">IFERROR(VLOOKUP(B85,Pipeline!$A$2:$B$500,2,FALSE()),"")</f>
        <v/>
      </c>
    </row>
    <row r="86" customFormat="false" ht="15" hidden="false" customHeight="false" outlineLevel="0" collapsed="false">
      <c r="C86" s="41" t="str">
        <f aca="false">IFERROR(VLOOKUP(B86,Pipeline!$A$2:$B$500,2,FALSE()),"")</f>
        <v/>
      </c>
    </row>
    <row r="87" customFormat="false" ht="15" hidden="false" customHeight="false" outlineLevel="0" collapsed="false">
      <c r="C87" s="41" t="str">
        <f aca="false">IFERROR(VLOOKUP(B87,Pipeline!$A$2:$B$500,2,FALSE()),"")</f>
        <v/>
      </c>
    </row>
    <row r="88" customFormat="false" ht="15" hidden="false" customHeight="false" outlineLevel="0" collapsed="false">
      <c r="C88" s="41" t="str">
        <f aca="false">IFERROR(VLOOKUP(B88,Pipeline!$A$2:$B$500,2,FALSE()),"")</f>
        <v/>
      </c>
    </row>
    <row r="89" customFormat="false" ht="15" hidden="false" customHeight="false" outlineLevel="0" collapsed="false">
      <c r="C89" s="41" t="str">
        <f aca="false">IFERROR(VLOOKUP(B89,Pipeline!$A$2:$B$500,2,FALSE()),"")</f>
        <v/>
      </c>
    </row>
    <row r="90" customFormat="false" ht="15" hidden="false" customHeight="false" outlineLevel="0" collapsed="false">
      <c r="C90" s="41" t="str">
        <f aca="false">IFERROR(VLOOKUP(B90,Pipeline!$A$2:$B$500,2,FALSE()),"")</f>
        <v/>
      </c>
    </row>
    <row r="91" customFormat="false" ht="15" hidden="false" customHeight="false" outlineLevel="0" collapsed="false">
      <c r="C91" s="41" t="str">
        <f aca="false">IFERROR(VLOOKUP(B91,Pipeline!$A$2:$B$500,2,FALSE()),"")</f>
        <v/>
      </c>
    </row>
    <row r="92" customFormat="false" ht="15" hidden="false" customHeight="false" outlineLevel="0" collapsed="false">
      <c r="C92" s="41" t="str">
        <f aca="false">IFERROR(VLOOKUP(B92,Pipeline!$A$2:$B$500,2,FALSE()),"")</f>
        <v/>
      </c>
    </row>
    <row r="93" customFormat="false" ht="15" hidden="false" customHeight="false" outlineLevel="0" collapsed="false">
      <c r="C93" s="41" t="str">
        <f aca="false">IFERROR(VLOOKUP(B93,Pipeline!$A$2:$B$500,2,FALSE()),"")</f>
        <v/>
      </c>
    </row>
    <row r="94" customFormat="false" ht="15" hidden="false" customHeight="false" outlineLevel="0" collapsed="false">
      <c r="C94" s="41" t="str">
        <f aca="false">IFERROR(VLOOKUP(B94,Pipeline!$A$2:$B$500,2,FALSE()),"")</f>
        <v/>
      </c>
    </row>
    <row r="95" customFormat="false" ht="15" hidden="false" customHeight="false" outlineLevel="0" collapsed="false">
      <c r="C95" s="41" t="str">
        <f aca="false">IFERROR(VLOOKUP(B95,Pipeline!$A$2:$B$500,2,FALSE()),"")</f>
        <v/>
      </c>
    </row>
    <row r="96" customFormat="false" ht="15" hidden="false" customHeight="false" outlineLevel="0" collapsed="false">
      <c r="C96" s="41" t="str">
        <f aca="false">IFERROR(VLOOKUP(B96,Pipeline!$A$2:$B$500,2,FALSE()),"")</f>
        <v/>
      </c>
    </row>
    <row r="97" customFormat="false" ht="15" hidden="false" customHeight="false" outlineLevel="0" collapsed="false">
      <c r="C97" s="41" t="str">
        <f aca="false">IFERROR(VLOOKUP(B97,Pipeline!$A$2:$B$500,2,FALSE()),"")</f>
        <v/>
      </c>
    </row>
    <row r="98" customFormat="false" ht="15" hidden="false" customHeight="false" outlineLevel="0" collapsed="false">
      <c r="C98" s="41" t="str">
        <f aca="false">IFERROR(VLOOKUP(B98,Pipeline!$A$2:$B$500,2,FALSE()),"")</f>
        <v/>
      </c>
    </row>
    <row r="99" customFormat="false" ht="15" hidden="false" customHeight="false" outlineLevel="0" collapsed="false">
      <c r="C99" s="41" t="str">
        <f aca="false">IFERROR(VLOOKUP(B99,Pipeline!$A$2:$B$500,2,FALSE()),"")</f>
        <v/>
      </c>
    </row>
    <row r="100" customFormat="false" ht="15" hidden="false" customHeight="false" outlineLevel="0" collapsed="false">
      <c r="C100" s="41" t="str">
        <f aca="false">IFERROR(VLOOKUP(B100,Pipeline!$A$2:$B$500,2,FALSE()),"")</f>
        <v/>
      </c>
    </row>
    <row r="101" customFormat="false" ht="15" hidden="false" customHeight="false" outlineLevel="0" collapsed="false">
      <c r="C101" s="41" t="str">
        <f aca="false">IFERROR(VLOOKUP(B101,Pipeline!$A$2:$B$500,2,FALSE()),"")</f>
        <v/>
      </c>
    </row>
    <row r="102" customFormat="false" ht="15" hidden="false" customHeight="false" outlineLevel="0" collapsed="false">
      <c r="C102" s="41" t="str">
        <f aca="false">IFERROR(VLOOKUP(B102,Pipeline!$A$2:$B$500,2,FALSE()),"")</f>
        <v/>
      </c>
    </row>
    <row r="103" customFormat="false" ht="15" hidden="false" customHeight="false" outlineLevel="0" collapsed="false">
      <c r="C103" s="41" t="str">
        <f aca="false">IFERROR(VLOOKUP(B103,Pipeline!$A$2:$B$500,2,FALSE()),"")</f>
        <v/>
      </c>
    </row>
    <row r="104" customFormat="false" ht="15" hidden="false" customHeight="false" outlineLevel="0" collapsed="false">
      <c r="C104" s="41" t="str">
        <f aca="false">IFERROR(VLOOKUP(B104,Pipeline!$A$2:$B$500,2,FALSE()),"")</f>
        <v/>
      </c>
    </row>
    <row r="105" customFormat="false" ht="15" hidden="false" customHeight="false" outlineLevel="0" collapsed="false">
      <c r="C105" s="41" t="str">
        <f aca="false">IFERROR(VLOOKUP(B105,Pipeline!$A$2:$B$500,2,FALSE()),"")</f>
        <v/>
      </c>
    </row>
    <row r="106" customFormat="false" ht="15" hidden="false" customHeight="false" outlineLevel="0" collapsed="false">
      <c r="C106" s="41" t="str">
        <f aca="false">IFERROR(VLOOKUP(B106,Pipeline!$A$2:$B$500,2,FALSE()),"")</f>
        <v/>
      </c>
    </row>
    <row r="107" customFormat="false" ht="15" hidden="false" customHeight="false" outlineLevel="0" collapsed="false">
      <c r="C107" s="41" t="str">
        <f aca="false">IFERROR(VLOOKUP(B107,Pipeline!$A$2:$B$500,2,FALSE()),"")</f>
        <v/>
      </c>
    </row>
    <row r="108" customFormat="false" ht="15" hidden="false" customHeight="false" outlineLevel="0" collapsed="false">
      <c r="C108" s="41" t="str">
        <f aca="false">IFERROR(VLOOKUP(B108,Pipeline!$A$2:$B$500,2,FALSE()),"")</f>
        <v/>
      </c>
    </row>
    <row r="109" customFormat="false" ht="15" hidden="false" customHeight="false" outlineLevel="0" collapsed="false">
      <c r="C109" s="41" t="str">
        <f aca="false">IFERROR(VLOOKUP(B109,Pipeline!$A$2:$B$500,2,FALSE()),"")</f>
        <v/>
      </c>
    </row>
    <row r="110" customFormat="false" ht="15" hidden="false" customHeight="false" outlineLevel="0" collapsed="false">
      <c r="C110" s="41" t="str">
        <f aca="false">IFERROR(VLOOKUP(B110,Pipeline!$A$2:$B$500,2,FALSE()),"")</f>
        <v/>
      </c>
    </row>
    <row r="111" customFormat="false" ht="15" hidden="false" customHeight="false" outlineLevel="0" collapsed="false">
      <c r="C111" s="41" t="str">
        <f aca="false">IFERROR(VLOOKUP(B111,Pipeline!$A$2:$B$500,2,FALSE()),"")</f>
        <v/>
      </c>
    </row>
    <row r="112" customFormat="false" ht="15" hidden="false" customHeight="false" outlineLevel="0" collapsed="false">
      <c r="C112" s="41" t="str">
        <f aca="false">IFERROR(VLOOKUP(B112,Pipeline!$A$2:$B$500,2,FALSE()),"")</f>
        <v/>
      </c>
    </row>
    <row r="113" customFormat="false" ht="15" hidden="false" customHeight="false" outlineLevel="0" collapsed="false">
      <c r="C113" s="41" t="str">
        <f aca="false">IFERROR(VLOOKUP(B113,Pipeline!$A$2:$B$500,2,FALSE()),"")</f>
        <v/>
      </c>
    </row>
    <row r="114" customFormat="false" ht="15" hidden="false" customHeight="false" outlineLevel="0" collapsed="false">
      <c r="C114" s="41" t="str">
        <f aca="false">IFERROR(VLOOKUP(B114,Pipeline!$A$2:$B$500,2,FALSE()),"")</f>
        <v/>
      </c>
    </row>
    <row r="115" customFormat="false" ht="15" hidden="false" customHeight="false" outlineLevel="0" collapsed="false">
      <c r="C115" s="41" t="str">
        <f aca="false">IFERROR(VLOOKUP(B115,Pipeline!$A$2:$B$500,2,FALSE()),"")</f>
        <v/>
      </c>
    </row>
    <row r="116" customFormat="false" ht="15" hidden="false" customHeight="false" outlineLevel="0" collapsed="false">
      <c r="C116" s="41" t="str">
        <f aca="false">IFERROR(VLOOKUP(B116,Pipeline!$A$2:$B$500,2,FALSE()),"")</f>
        <v/>
      </c>
    </row>
    <row r="117" customFormat="false" ht="15" hidden="false" customHeight="false" outlineLevel="0" collapsed="false">
      <c r="C117" s="41" t="str">
        <f aca="false">IFERROR(VLOOKUP(B117,Pipeline!$A$2:$B$500,2,FALSE()),"")</f>
        <v/>
      </c>
    </row>
    <row r="118" customFormat="false" ht="15" hidden="false" customHeight="false" outlineLevel="0" collapsed="false">
      <c r="C118" s="41" t="str">
        <f aca="false">IFERROR(VLOOKUP(B118,Pipeline!$A$2:$B$500,2,FALSE()),"")</f>
        <v/>
      </c>
    </row>
    <row r="119" customFormat="false" ht="15" hidden="false" customHeight="false" outlineLevel="0" collapsed="false">
      <c r="C119" s="41" t="str">
        <f aca="false">IFERROR(VLOOKUP(B119,Pipeline!$A$2:$B$500,2,FALSE()),"")</f>
        <v/>
      </c>
    </row>
    <row r="120" customFormat="false" ht="15" hidden="false" customHeight="false" outlineLevel="0" collapsed="false">
      <c r="C120" s="41" t="str">
        <f aca="false">IFERROR(VLOOKUP(B120,Pipeline!$A$2:$B$500,2,FALSE()),"")</f>
        <v/>
      </c>
    </row>
    <row r="121" customFormat="false" ht="15" hidden="false" customHeight="false" outlineLevel="0" collapsed="false">
      <c r="C121" s="41" t="str">
        <f aca="false">IFERROR(VLOOKUP(B121,Pipeline!$A$2:$B$500,2,FALSE()),"")</f>
        <v/>
      </c>
    </row>
    <row r="122" customFormat="false" ht="15" hidden="false" customHeight="false" outlineLevel="0" collapsed="false">
      <c r="C122" s="41" t="str">
        <f aca="false">IFERROR(VLOOKUP(B122,Pipeline!$A$2:$B$500,2,FALSE()),"")</f>
        <v/>
      </c>
    </row>
    <row r="123" customFormat="false" ht="15" hidden="false" customHeight="false" outlineLevel="0" collapsed="false">
      <c r="C123" s="41" t="str">
        <f aca="false">IFERROR(VLOOKUP(B123,Pipeline!$A$2:$B$500,2,FALSE()),"")</f>
        <v/>
      </c>
    </row>
    <row r="124" customFormat="false" ht="15" hidden="false" customHeight="false" outlineLevel="0" collapsed="false">
      <c r="C124" s="41" t="str">
        <f aca="false">IFERROR(VLOOKUP(B124,Pipeline!$A$2:$B$500,2,FALSE()),"")</f>
        <v/>
      </c>
    </row>
    <row r="125" customFormat="false" ht="15" hidden="false" customHeight="false" outlineLevel="0" collapsed="false">
      <c r="C125" s="41" t="str">
        <f aca="false">IFERROR(VLOOKUP(B125,Pipeline!$A$2:$B$500,2,FALSE()),"")</f>
        <v/>
      </c>
    </row>
    <row r="126" customFormat="false" ht="15" hidden="false" customHeight="false" outlineLevel="0" collapsed="false">
      <c r="C126" s="41" t="str">
        <f aca="false">IFERROR(VLOOKUP(B126,Pipeline!$A$2:$B$500,2,FALSE()),"")</f>
        <v/>
      </c>
    </row>
    <row r="127" customFormat="false" ht="15" hidden="false" customHeight="false" outlineLevel="0" collapsed="false">
      <c r="C127" s="41" t="str">
        <f aca="false">IFERROR(VLOOKUP(B127,Pipeline!$A$2:$B$500,2,FALSE()),"")</f>
        <v/>
      </c>
    </row>
    <row r="128" customFormat="false" ht="15" hidden="false" customHeight="false" outlineLevel="0" collapsed="false">
      <c r="C128" s="41" t="str">
        <f aca="false">IFERROR(VLOOKUP(B128,Pipeline!$A$2:$B$500,2,FALSE()),"")</f>
        <v/>
      </c>
    </row>
    <row r="129" customFormat="false" ht="15" hidden="false" customHeight="false" outlineLevel="0" collapsed="false">
      <c r="C129" s="41" t="str">
        <f aca="false">IFERROR(VLOOKUP(B129,Pipeline!$A$2:$B$500,2,FALSE()),"")</f>
        <v/>
      </c>
    </row>
    <row r="130" customFormat="false" ht="15" hidden="false" customHeight="false" outlineLevel="0" collapsed="false">
      <c r="C130" s="41" t="str">
        <f aca="false">IFERROR(VLOOKUP(B130,Pipeline!$A$2:$B$500,2,FALSE()),"")</f>
        <v/>
      </c>
    </row>
    <row r="131" customFormat="false" ht="15" hidden="false" customHeight="false" outlineLevel="0" collapsed="false">
      <c r="C131" s="41" t="str">
        <f aca="false">IFERROR(VLOOKUP(B131,Pipeline!$A$2:$B$500,2,FALSE()),"")</f>
        <v/>
      </c>
    </row>
    <row r="132" customFormat="false" ht="15" hidden="false" customHeight="false" outlineLevel="0" collapsed="false">
      <c r="C132" s="41" t="str">
        <f aca="false">IFERROR(VLOOKUP(B132,Pipeline!$A$2:$B$500,2,FALSE()),"")</f>
        <v/>
      </c>
    </row>
    <row r="133" customFormat="false" ht="15" hidden="false" customHeight="false" outlineLevel="0" collapsed="false">
      <c r="C133" s="41" t="str">
        <f aca="false">IFERROR(VLOOKUP(B133,Pipeline!$A$2:$B$500,2,FALSE()),"")</f>
        <v/>
      </c>
    </row>
    <row r="134" customFormat="false" ht="15" hidden="false" customHeight="false" outlineLevel="0" collapsed="false">
      <c r="C134" s="41" t="str">
        <f aca="false">IFERROR(VLOOKUP(B134,Pipeline!$A$2:$B$500,2,FALSE()),"")</f>
        <v/>
      </c>
    </row>
    <row r="135" customFormat="false" ht="15" hidden="false" customHeight="false" outlineLevel="0" collapsed="false">
      <c r="C135" s="41" t="str">
        <f aca="false">IFERROR(VLOOKUP(B135,Pipeline!$A$2:$B$500,2,FALSE()),"")</f>
        <v/>
      </c>
    </row>
    <row r="136" customFormat="false" ht="15" hidden="false" customHeight="false" outlineLevel="0" collapsed="false">
      <c r="C136" s="41" t="str">
        <f aca="false">IFERROR(VLOOKUP(B136,Pipeline!$A$2:$B$500,2,FALSE()),"")</f>
        <v/>
      </c>
    </row>
    <row r="137" customFormat="false" ht="15" hidden="false" customHeight="false" outlineLevel="0" collapsed="false">
      <c r="C137" s="41" t="str">
        <f aca="false">IFERROR(VLOOKUP(B137,Pipeline!$A$2:$B$500,2,FALSE()),"")</f>
        <v/>
      </c>
    </row>
    <row r="138" customFormat="false" ht="15" hidden="false" customHeight="false" outlineLevel="0" collapsed="false">
      <c r="C138" s="41" t="str">
        <f aca="false">IFERROR(VLOOKUP(B138,Pipeline!$A$2:$B$500,2,FALSE()),"")</f>
        <v/>
      </c>
    </row>
    <row r="139" customFormat="false" ht="15" hidden="false" customHeight="false" outlineLevel="0" collapsed="false">
      <c r="C139" s="41" t="str">
        <f aca="false">IFERROR(VLOOKUP(B139,Pipeline!$A$2:$B$500,2,FALSE()),"")</f>
        <v/>
      </c>
    </row>
    <row r="140" customFormat="false" ht="15" hidden="false" customHeight="false" outlineLevel="0" collapsed="false">
      <c r="C140" s="41" t="str">
        <f aca="false">IFERROR(VLOOKUP(B140,Pipeline!$A$2:$B$500,2,FALSE()),"")</f>
        <v/>
      </c>
    </row>
    <row r="141" customFormat="false" ht="15" hidden="false" customHeight="false" outlineLevel="0" collapsed="false">
      <c r="C141" s="41" t="str">
        <f aca="false">IFERROR(VLOOKUP(B141,Pipeline!$A$2:$B$500,2,FALSE()),"")</f>
        <v/>
      </c>
    </row>
    <row r="142" customFormat="false" ht="15" hidden="false" customHeight="false" outlineLevel="0" collapsed="false">
      <c r="C142" s="41" t="str">
        <f aca="false">IFERROR(VLOOKUP(B142,Pipeline!$A$2:$B$500,2,FALSE()),"")</f>
        <v/>
      </c>
    </row>
    <row r="143" customFormat="false" ht="15" hidden="false" customHeight="false" outlineLevel="0" collapsed="false">
      <c r="C143" s="41" t="str">
        <f aca="false">IFERROR(VLOOKUP(B143,Pipeline!$A$2:$B$500,2,FALSE()),"")</f>
        <v/>
      </c>
    </row>
    <row r="144" customFormat="false" ht="15" hidden="false" customHeight="false" outlineLevel="0" collapsed="false">
      <c r="C144" s="41" t="str">
        <f aca="false">IFERROR(VLOOKUP(B144,Pipeline!$A$2:$B$500,2,FALSE()),"")</f>
        <v/>
      </c>
    </row>
    <row r="145" customFormat="false" ht="15" hidden="false" customHeight="false" outlineLevel="0" collapsed="false">
      <c r="C145" s="41" t="str">
        <f aca="false">IFERROR(VLOOKUP(B145,Pipeline!$A$2:$B$500,2,FALSE()),"")</f>
        <v/>
      </c>
    </row>
    <row r="146" customFormat="false" ht="15" hidden="false" customHeight="false" outlineLevel="0" collapsed="false">
      <c r="C146" s="41" t="str">
        <f aca="false">IFERROR(VLOOKUP(B146,Pipeline!$A$2:$B$500,2,FALSE()),"")</f>
        <v/>
      </c>
    </row>
    <row r="147" customFormat="false" ht="15" hidden="false" customHeight="false" outlineLevel="0" collapsed="false">
      <c r="C147" s="41" t="str">
        <f aca="false">IFERROR(VLOOKUP(B147,Pipeline!$A$2:$B$500,2,FALSE()),"")</f>
        <v/>
      </c>
    </row>
    <row r="148" customFormat="false" ht="15" hidden="false" customHeight="false" outlineLevel="0" collapsed="false">
      <c r="C148" s="41" t="str">
        <f aca="false">IFERROR(VLOOKUP(B148,Pipeline!$A$2:$B$500,2,FALSE()),"")</f>
        <v/>
      </c>
    </row>
    <row r="149" customFormat="false" ht="15" hidden="false" customHeight="false" outlineLevel="0" collapsed="false">
      <c r="C149" s="41" t="str">
        <f aca="false">IFERROR(VLOOKUP(B149,Pipeline!$A$2:$B$500,2,FALSE()),"")</f>
        <v/>
      </c>
    </row>
    <row r="150" customFormat="false" ht="15" hidden="false" customHeight="false" outlineLevel="0" collapsed="false">
      <c r="C150" s="41" t="str">
        <f aca="false">IFERROR(VLOOKUP(B150,Pipeline!$A$2:$B$500,2,FALSE()),"")</f>
        <v/>
      </c>
    </row>
    <row r="151" customFormat="false" ht="15" hidden="false" customHeight="false" outlineLevel="0" collapsed="false">
      <c r="C151" s="41" t="str">
        <f aca="false">IFERROR(VLOOKUP(B151,Pipeline!$A$2:$B$500,2,FALSE()),"")</f>
        <v/>
      </c>
    </row>
    <row r="152" customFormat="false" ht="15" hidden="false" customHeight="false" outlineLevel="0" collapsed="false">
      <c r="C152" s="41" t="str">
        <f aca="false">IFERROR(VLOOKUP(B152,Pipeline!$A$2:$B$500,2,FALSE()),"")</f>
        <v/>
      </c>
    </row>
    <row r="153" customFormat="false" ht="15" hidden="false" customHeight="false" outlineLevel="0" collapsed="false">
      <c r="C153" s="41" t="str">
        <f aca="false">IFERROR(VLOOKUP(B153,Pipeline!$A$2:$B$500,2,FALSE()),"")</f>
        <v/>
      </c>
    </row>
    <row r="154" customFormat="false" ht="15" hidden="false" customHeight="false" outlineLevel="0" collapsed="false">
      <c r="C154" s="41" t="str">
        <f aca="false">IFERROR(VLOOKUP(B154,Pipeline!$A$2:$B$500,2,FALSE()),"")</f>
        <v/>
      </c>
    </row>
    <row r="155" customFormat="false" ht="15" hidden="false" customHeight="false" outlineLevel="0" collapsed="false">
      <c r="C155" s="41" t="str">
        <f aca="false">IFERROR(VLOOKUP(B155,Pipeline!$A$2:$B$500,2,FALSE()),"")</f>
        <v/>
      </c>
    </row>
    <row r="156" customFormat="false" ht="15" hidden="false" customHeight="false" outlineLevel="0" collapsed="false">
      <c r="C156" s="41" t="str">
        <f aca="false">IFERROR(VLOOKUP(B156,Pipeline!$A$2:$B$500,2,FALSE()),"")</f>
        <v/>
      </c>
    </row>
    <row r="157" customFormat="false" ht="15" hidden="false" customHeight="false" outlineLevel="0" collapsed="false">
      <c r="C157" s="41" t="str">
        <f aca="false">IFERROR(VLOOKUP(B157,Pipeline!$A$2:$B$500,2,FALSE()),"")</f>
        <v/>
      </c>
    </row>
    <row r="158" customFormat="false" ht="15" hidden="false" customHeight="false" outlineLevel="0" collapsed="false">
      <c r="C158" s="41" t="str">
        <f aca="false">IFERROR(VLOOKUP(B158,Pipeline!$A$2:$B$500,2,FALSE()),"")</f>
        <v/>
      </c>
    </row>
    <row r="159" customFormat="false" ht="15" hidden="false" customHeight="false" outlineLevel="0" collapsed="false">
      <c r="C159" s="41" t="str">
        <f aca="false">IFERROR(VLOOKUP(B159,Pipeline!$A$2:$B$500,2,FALSE()),"")</f>
        <v/>
      </c>
    </row>
    <row r="160" customFormat="false" ht="15" hidden="false" customHeight="false" outlineLevel="0" collapsed="false">
      <c r="C160" s="41" t="str">
        <f aca="false">IFERROR(VLOOKUP(B160,Pipeline!$A$2:$B$500,2,FALSE()),"")</f>
        <v/>
      </c>
    </row>
    <row r="161" customFormat="false" ht="15" hidden="false" customHeight="false" outlineLevel="0" collapsed="false">
      <c r="C161" s="41" t="str">
        <f aca="false">IFERROR(VLOOKUP(B161,Pipeline!$A$2:$B$500,2,FALSE()),"")</f>
        <v/>
      </c>
    </row>
    <row r="162" customFormat="false" ht="15" hidden="false" customHeight="false" outlineLevel="0" collapsed="false">
      <c r="C162" s="41" t="str">
        <f aca="false">IFERROR(VLOOKUP(B162,Pipeline!$A$2:$B$500,2,FALSE()),"")</f>
        <v/>
      </c>
    </row>
    <row r="163" customFormat="false" ht="15" hidden="false" customHeight="false" outlineLevel="0" collapsed="false">
      <c r="C163" s="41" t="str">
        <f aca="false">IFERROR(VLOOKUP(B163,Pipeline!$A$2:$B$500,2,FALSE()),"")</f>
        <v/>
      </c>
    </row>
    <row r="164" customFormat="false" ht="15" hidden="false" customHeight="false" outlineLevel="0" collapsed="false">
      <c r="C164" s="41" t="str">
        <f aca="false">IFERROR(VLOOKUP(B164,Pipeline!$A$2:$B$500,2,FALSE()),"")</f>
        <v/>
      </c>
    </row>
    <row r="165" customFormat="false" ht="15" hidden="false" customHeight="false" outlineLevel="0" collapsed="false">
      <c r="C165" s="41" t="str">
        <f aca="false">IFERROR(VLOOKUP(B165,Pipeline!$A$2:$B$500,2,FALSE()),"")</f>
        <v/>
      </c>
    </row>
    <row r="166" customFormat="false" ht="15" hidden="false" customHeight="false" outlineLevel="0" collapsed="false">
      <c r="C166" s="41" t="str">
        <f aca="false">IFERROR(VLOOKUP(B166,Pipeline!$A$2:$B$500,2,FALSE()),"")</f>
        <v/>
      </c>
    </row>
    <row r="167" customFormat="false" ht="15" hidden="false" customHeight="false" outlineLevel="0" collapsed="false">
      <c r="C167" s="41" t="str">
        <f aca="false">IFERROR(VLOOKUP(B167,Pipeline!$A$2:$B$500,2,FALSE()),"")</f>
        <v/>
      </c>
    </row>
    <row r="168" customFormat="false" ht="15" hidden="false" customHeight="false" outlineLevel="0" collapsed="false">
      <c r="C168" s="41" t="str">
        <f aca="false">IFERROR(VLOOKUP(B168,Pipeline!$A$2:$B$500,2,FALSE()),"")</f>
        <v/>
      </c>
    </row>
    <row r="169" customFormat="false" ht="15" hidden="false" customHeight="false" outlineLevel="0" collapsed="false">
      <c r="C169" s="41" t="str">
        <f aca="false">IFERROR(VLOOKUP(B169,Pipeline!$A$2:$B$500,2,FALSE()),"")</f>
        <v/>
      </c>
    </row>
    <row r="170" customFormat="false" ht="15" hidden="false" customHeight="false" outlineLevel="0" collapsed="false">
      <c r="C170" s="41" t="str">
        <f aca="false">IFERROR(VLOOKUP(B170,Pipeline!$A$2:$B$500,2,FALSE()),"")</f>
        <v/>
      </c>
    </row>
    <row r="171" customFormat="false" ht="15" hidden="false" customHeight="false" outlineLevel="0" collapsed="false">
      <c r="C171" s="41" t="str">
        <f aca="false">IFERROR(VLOOKUP(B171,Pipeline!$A$2:$B$500,2,FALSE()),"")</f>
        <v/>
      </c>
    </row>
    <row r="172" customFormat="false" ht="15" hidden="false" customHeight="false" outlineLevel="0" collapsed="false">
      <c r="C172" s="41" t="str">
        <f aca="false">IFERROR(VLOOKUP(B172,Pipeline!$A$2:$B$500,2,FALSE()),"")</f>
        <v/>
      </c>
    </row>
    <row r="173" customFormat="false" ht="15" hidden="false" customHeight="false" outlineLevel="0" collapsed="false">
      <c r="C173" s="41" t="str">
        <f aca="false">IFERROR(VLOOKUP(B173,Pipeline!$A$2:$B$500,2,FALSE()),"")</f>
        <v/>
      </c>
    </row>
    <row r="174" customFormat="false" ht="15" hidden="false" customHeight="false" outlineLevel="0" collapsed="false">
      <c r="C174" s="41" t="str">
        <f aca="false">IFERROR(VLOOKUP(B174,Pipeline!$A$2:$B$500,2,FALSE()),"")</f>
        <v/>
      </c>
    </row>
    <row r="175" customFormat="false" ht="15" hidden="false" customHeight="false" outlineLevel="0" collapsed="false">
      <c r="C175" s="41" t="str">
        <f aca="false">IFERROR(VLOOKUP(B175,Pipeline!$A$2:$B$500,2,FALSE()),"")</f>
        <v/>
      </c>
    </row>
    <row r="176" customFormat="false" ht="15" hidden="false" customHeight="false" outlineLevel="0" collapsed="false">
      <c r="C176" s="41" t="str">
        <f aca="false">IFERROR(VLOOKUP(B176,Pipeline!$A$2:$B$500,2,FALSE()),"")</f>
        <v/>
      </c>
    </row>
    <row r="177" customFormat="false" ht="15" hidden="false" customHeight="false" outlineLevel="0" collapsed="false">
      <c r="C177" s="41" t="str">
        <f aca="false">IFERROR(VLOOKUP(B177,Pipeline!$A$2:$B$500,2,FALSE()),"")</f>
        <v/>
      </c>
    </row>
    <row r="178" customFormat="false" ht="15" hidden="false" customHeight="false" outlineLevel="0" collapsed="false">
      <c r="C178" s="41" t="str">
        <f aca="false">IFERROR(VLOOKUP(B178,Pipeline!$A$2:$B$500,2,FALSE()),"")</f>
        <v/>
      </c>
    </row>
    <row r="179" customFormat="false" ht="15" hidden="false" customHeight="false" outlineLevel="0" collapsed="false">
      <c r="C179" s="41" t="str">
        <f aca="false">IFERROR(VLOOKUP(B179,Pipeline!$A$2:$B$500,2,FALSE()),"")</f>
        <v/>
      </c>
    </row>
    <row r="180" customFormat="false" ht="15" hidden="false" customHeight="false" outlineLevel="0" collapsed="false">
      <c r="C180" s="41" t="str">
        <f aca="false">IFERROR(VLOOKUP(B180,Pipeline!$A$2:$B$500,2,FALSE()),"")</f>
        <v/>
      </c>
    </row>
    <row r="181" customFormat="false" ht="15" hidden="false" customHeight="false" outlineLevel="0" collapsed="false">
      <c r="C181" s="41" t="str">
        <f aca="false">IFERROR(VLOOKUP(B181,Pipeline!$A$2:$B$500,2,FALSE()),"")</f>
        <v/>
      </c>
    </row>
    <row r="182" customFormat="false" ht="15" hidden="false" customHeight="false" outlineLevel="0" collapsed="false">
      <c r="C182" s="41" t="str">
        <f aca="false">IFERROR(VLOOKUP(B182,Pipeline!$A$2:$B$500,2,FALSE()),"")</f>
        <v/>
      </c>
    </row>
    <row r="183" customFormat="false" ht="15" hidden="false" customHeight="false" outlineLevel="0" collapsed="false">
      <c r="C183" s="41" t="str">
        <f aca="false">IFERROR(VLOOKUP(B183,Pipeline!$A$2:$B$500,2,FALSE()),"")</f>
        <v/>
      </c>
    </row>
    <row r="184" customFormat="false" ht="15" hidden="false" customHeight="false" outlineLevel="0" collapsed="false">
      <c r="C184" s="41" t="str">
        <f aca="false">IFERROR(VLOOKUP(B184,Pipeline!$A$2:$B$500,2,FALSE()),"")</f>
        <v/>
      </c>
    </row>
    <row r="185" customFormat="false" ht="15" hidden="false" customHeight="false" outlineLevel="0" collapsed="false">
      <c r="C185" s="41" t="str">
        <f aca="false">IFERROR(VLOOKUP(B185,Pipeline!$A$2:$B$500,2,FALSE()),"")</f>
        <v/>
      </c>
    </row>
    <row r="186" customFormat="false" ht="15" hidden="false" customHeight="false" outlineLevel="0" collapsed="false">
      <c r="C186" s="41" t="str">
        <f aca="false">IFERROR(VLOOKUP(B186,Pipeline!$A$2:$B$500,2,FALSE()),"")</f>
        <v/>
      </c>
    </row>
    <row r="187" customFormat="false" ht="15" hidden="false" customHeight="false" outlineLevel="0" collapsed="false">
      <c r="C187" s="41" t="str">
        <f aca="false">IFERROR(VLOOKUP(B187,Pipeline!$A$2:$B$500,2,FALSE()),"")</f>
        <v/>
      </c>
    </row>
    <row r="188" customFormat="false" ht="15" hidden="false" customHeight="false" outlineLevel="0" collapsed="false">
      <c r="C188" s="41" t="str">
        <f aca="false">IFERROR(VLOOKUP(B188,Pipeline!$A$2:$B$500,2,FALSE()),"")</f>
        <v/>
      </c>
    </row>
    <row r="189" customFormat="false" ht="15" hidden="false" customHeight="false" outlineLevel="0" collapsed="false">
      <c r="C189" s="41" t="str">
        <f aca="false">IFERROR(VLOOKUP(B189,Pipeline!$A$2:$B$500,2,FALSE()),"")</f>
        <v/>
      </c>
    </row>
    <row r="190" customFormat="false" ht="15" hidden="false" customHeight="false" outlineLevel="0" collapsed="false">
      <c r="C190" s="41" t="str">
        <f aca="false">IFERROR(VLOOKUP(B190,Pipeline!$A$2:$B$500,2,FALSE()),"")</f>
        <v/>
      </c>
    </row>
    <row r="191" customFormat="false" ht="15" hidden="false" customHeight="false" outlineLevel="0" collapsed="false">
      <c r="C191" s="41" t="str">
        <f aca="false">IFERROR(VLOOKUP(B191,Pipeline!$A$2:$B$500,2,FALSE()),"")</f>
        <v/>
      </c>
    </row>
    <row r="192" customFormat="false" ht="15" hidden="false" customHeight="false" outlineLevel="0" collapsed="false">
      <c r="C192" s="41" t="str">
        <f aca="false">IFERROR(VLOOKUP(B192,Pipeline!$A$2:$B$500,2,FALSE()),"")</f>
        <v/>
      </c>
    </row>
    <row r="193" customFormat="false" ht="15" hidden="false" customHeight="false" outlineLevel="0" collapsed="false">
      <c r="C193" s="41" t="str">
        <f aca="false">IFERROR(VLOOKUP(B193,Pipeline!$A$2:$B$500,2,FALSE()),"")</f>
        <v/>
      </c>
    </row>
    <row r="194" customFormat="false" ht="15" hidden="false" customHeight="false" outlineLevel="0" collapsed="false">
      <c r="C194" s="41" t="str">
        <f aca="false">IFERROR(VLOOKUP(B194,Pipeline!$A$2:$B$500,2,FALSE()),"")</f>
        <v/>
      </c>
    </row>
    <row r="195" customFormat="false" ht="15" hidden="false" customHeight="false" outlineLevel="0" collapsed="false">
      <c r="C195" s="41" t="str">
        <f aca="false">IFERROR(VLOOKUP(B195,Pipeline!$A$2:$B$500,2,FALSE()),"")</f>
        <v/>
      </c>
    </row>
    <row r="196" customFormat="false" ht="15" hidden="false" customHeight="false" outlineLevel="0" collapsed="false">
      <c r="C196" s="41" t="str">
        <f aca="false">IFERROR(VLOOKUP(B196,Pipeline!$A$2:$B$500,2,FALSE()),"")</f>
        <v/>
      </c>
    </row>
    <row r="197" customFormat="false" ht="15" hidden="false" customHeight="false" outlineLevel="0" collapsed="false">
      <c r="C197" s="41" t="str">
        <f aca="false">IFERROR(VLOOKUP(B197,Pipeline!$A$2:$B$500,2,FALSE()),"")</f>
        <v/>
      </c>
    </row>
    <row r="198" customFormat="false" ht="15" hidden="false" customHeight="false" outlineLevel="0" collapsed="false">
      <c r="C198" s="41" t="str">
        <f aca="false">IFERROR(VLOOKUP(B198,Pipeline!$A$2:$B$500,2,FALSE()),"")</f>
        <v/>
      </c>
    </row>
    <row r="199" customFormat="false" ht="15" hidden="false" customHeight="false" outlineLevel="0" collapsed="false">
      <c r="C199" s="41" t="str">
        <f aca="false">IFERROR(VLOOKUP(B199,Pipeline!$A$2:$B$500,2,FALSE()),"")</f>
        <v/>
      </c>
    </row>
    <row r="200" customFormat="false" ht="15" hidden="false" customHeight="false" outlineLevel="0" collapsed="false">
      <c r="C200" s="41" t="str">
        <f aca="false">IFERROR(VLOOKUP(B200,Pipeline!$A$2:$B$500,2,FALSE()),"")</f>
        <v/>
      </c>
    </row>
    <row r="201" customFormat="false" ht="15" hidden="false" customHeight="false" outlineLevel="0" collapsed="false">
      <c r="C201" s="41" t="str">
        <f aca="false">IFERROR(VLOOKUP(B201,Pipeline!$A$2:$B$500,2,FALSE()),"")</f>
        <v/>
      </c>
    </row>
    <row r="202" customFormat="false" ht="15" hidden="false" customHeight="false" outlineLevel="0" collapsed="false">
      <c r="C202" s="41" t="str">
        <f aca="false">IFERROR(VLOOKUP(B202,Pipeline!$A$2:$B$500,2,FALSE()),"")</f>
        <v/>
      </c>
    </row>
    <row r="203" customFormat="false" ht="15" hidden="false" customHeight="false" outlineLevel="0" collapsed="false">
      <c r="C203" s="41" t="str">
        <f aca="false">IFERROR(VLOOKUP(B203,Pipeline!$A$2:$B$500,2,FALSE()),"")</f>
        <v/>
      </c>
    </row>
    <row r="204" customFormat="false" ht="15" hidden="false" customHeight="false" outlineLevel="0" collapsed="false">
      <c r="C204" s="41" t="str">
        <f aca="false">IFERROR(VLOOKUP(B204,Pipeline!$A$2:$B$500,2,FALSE()),"")</f>
        <v/>
      </c>
    </row>
    <row r="205" customFormat="false" ht="15" hidden="false" customHeight="false" outlineLevel="0" collapsed="false">
      <c r="C205" s="41" t="str">
        <f aca="false">IFERROR(VLOOKUP(B205,Pipeline!$A$2:$B$500,2,FALSE()),"")</f>
        <v/>
      </c>
    </row>
    <row r="206" customFormat="false" ht="15" hidden="false" customHeight="false" outlineLevel="0" collapsed="false">
      <c r="C206" s="41" t="str">
        <f aca="false">IFERROR(VLOOKUP(B206,Pipeline!$A$2:$B$500,2,FALSE()),"")</f>
        <v/>
      </c>
    </row>
    <row r="207" customFormat="false" ht="15" hidden="false" customHeight="false" outlineLevel="0" collapsed="false">
      <c r="C207" s="41" t="str">
        <f aca="false">IFERROR(VLOOKUP(B207,Pipeline!$A$2:$B$500,2,FALSE()),"")</f>
        <v/>
      </c>
    </row>
    <row r="208" customFormat="false" ht="15" hidden="false" customHeight="false" outlineLevel="0" collapsed="false">
      <c r="C208" s="41" t="str">
        <f aca="false">IFERROR(VLOOKUP(B208,Pipeline!$A$2:$B$500,2,FALSE()),"")</f>
        <v/>
      </c>
    </row>
    <row r="209" customFormat="false" ht="15" hidden="false" customHeight="false" outlineLevel="0" collapsed="false">
      <c r="C209" s="41" t="str">
        <f aca="false">IFERROR(VLOOKUP(B209,Pipeline!$A$2:$B$500,2,FALSE()),"")</f>
        <v/>
      </c>
    </row>
    <row r="210" customFormat="false" ht="15" hidden="false" customHeight="false" outlineLevel="0" collapsed="false">
      <c r="C210" s="41" t="str">
        <f aca="false">IFERROR(VLOOKUP(B210,Pipeline!$A$2:$B$500,2,FALSE()),"")</f>
        <v/>
      </c>
    </row>
    <row r="211" customFormat="false" ht="15" hidden="false" customHeight="false" outlineLevel="0" collapsed="false">
      <c r="C211" s="41" t="str">
        <f aca="false">IFERROR(VLOOKUP(B211,Pipeline!$A$2:$B$500,2,FALSE()),"")</f>
        <v/>
      </c>
    </row>
    <row r="212" customFormat="false" ht="15" hidden="false" customHeight="false" outlineLevel="0" collapsed="false">
      <c r="C212" s="41" t="str">
        <f aca="false">IFERROR(VLOOKUP(B212,Pipeline!$A$2:$B$500,2,FALSE()),"")</f>
        <v/>
      </c>
    </row>
    <row r="213" customFormat="false" ht="15" hidden="false" customHeight="false" outlineLevel="0" collapsed="false">
      <c r="C213" s="41" t="str">
        <f aca="false">IFERROR(VLOOKUP(B213,Pipeline!$A$2:$B$500,2,FALSE()),"")</f>
        <v/>
      </c>
    </row>
    <row r="214" customFormat="false" ht="15" hidden="false" customHeight="false" outlineLevel="0" collapsed="false">
      <c r="C214" s="41" t="str">
        <f aca="false">IFERROR(VLOOKUP(B214,Pipeline!$A$2:$B$500,2,FALSE()),"")</f>
        <v/>
      </c>
    </row>
    <row r="215" customFormat="false" ht="15" hidden="false" customHeight="false" outlineLevel="0" collapsed="false">
      <c r="C215" s="41" t="str">
        <f aca="false">IFERROR(VLOOKUP(B215,Pipeline!$A$2:$B$500,2,FALSE()),"")</f>
        <v/>
      </c>
    </row>
    <row r="216" customFormat="false" ht="15" hidden="false" customHeight="false" outlineLevel="0" collapsed="false">
      <c r="C216" s="41" t="str">
        <f aca="false">IFERROR(VLOOKUP(B216,Pipeline!$A$2:$B$500,2,FALSE()),"")</f>
        <v/>
      </c>
    </row>
    <row r="217" customFormat="false" ht="15" hidden="false" customHeight="false" outlineLevel="0" collapsed="false">
      <c r="C217" s="41" t="str">
        <f aca="false">IFERROR(VLOOKUP(B217,Pipeline!$A$2:$B$500,2,FALSE()),"")</f>
        <v/>
      </c>
    </row>
    <row r="218" customFormat="false" ht="15" hidden="false" customHeight="false" outlineLevel="0" collapsed="false">
      <c r="C218" s="41" t="str">
        <f aca="false">IFERROR(VLOOKUP(B218,Pipeline!$A$2:$B$500,2,FALSE()),"")</f>
        <v/>
      </c>
    </row>
    <row r="219" customFormat="false" ht="15" hidden="false" customHeight="false" outlineLevel="0" collapsed="false">
      <c r="C219" s="41" t="str">
        <f aca="false">IFERROR(VLOOKUP(B219,Pipeline!$A$2:$B$500,2,FALSE()),"")</f>
        <v/>
      </c>
    </row>
    <row r="220" customFormat="false" ht="15" hidden="false" customHeight="false" outlineLevel="0" collapsed="false">
      <c r="C220" s="41" t="str">
        <f aca="false">IFERROR(VLOOKUP(B220,Pipeline!$A$2:$B$500,2,FALSE()),"")</f>
        <v/>
      </c>
    </row>
    <row r="221" customFormat="false" ht="15" hidden="false" customHeight="false" outlineLevel="0" collapsed="false">
      <c r="C221" s="41" t="str">
        <f aca="false">IFERROR(VLOOKUP(B221,Pipeline!$A$2:$B$500,2,FALSE()),"")</f>
        <v/>
      </c>
    </row>
    <row r="222" customFormat="false" ht="15" hidden="false" customHeight="false" outlineLevel="0" collapsed="false">
      <c r="C222" s="41" t="str">
        <f aca="false">IFERROR(VLOOKUP(B222,Pipeline!$A$2:$B$500,2,FALSE()),"")</f>
        <v/>
      </c>
    </row>
    <row r="223" customFormat="false" ht="15" hidden="false" customHeight="false" outlineLevel="0" collapsed="false">
      <c r="C223" s="41" t="str">
        <f aca="false">IFERROR(VLOOKUP(B223,Pipeline!$A$2:$B$500,2,FALSE()),"")</f>
        <v/>
      </c>
    </row>
    <row r="224" customFormat="false" ht="15" hidden="false" customHeight="false" outlineLevel="0" collapsed="false">
      <c r="C224" s="41" t="str">
        <f aca="false">IFERROR(VLOOKUP(B224,Pipeline!$A$2:$B$500,2,FALSE()),"")</f>
        <v/>
      </c>
    </row>
    <row r="225" customFormat="false" ht="15" hidden="false" customHeight="false" outlineLevel="0" collapsed="false">
      <c r="C225" s="41" t="str">
        <f aca="false">IFERROR(VLOOKUP(B225,Pipeline!$A$2:$B$500,2,FALSE()),"")</f>
        <v/>
      </c>
    </row>
    <row r="226" customFormat="false" ht="15" hidden="false" customHeight="false" outlineLevel="0" collapsed="false">
      <c r="C226" s="41" t="str">
        <f aca="false">IFERROR(VLOOKUP(B226,Pipeline!$A$2:$B$500,2,FALSE()),"")</f>
        <v/>
      </c>
    </row>
    <row r="227" customFormat="false" ht="15" hidden="false" customHeight="false" outlineLevel="0" collapsed="false">
      <c r="C227" s="41" t="str">
        <f aca="false">IFERROR(VLOOKUP(B227,Pipeline!$A$2:$B$500,2,FALSE()),"")</f>
        <v/>
      </c>
    </row>
    <row r="228" customFormat="false" ht="15" hidden="false" customHeight="false" outlineLevel="0" collapsed="false">
      <c r="C228" s="41" t="str">
        <f aca="false">IFERROR(VLOOKUP(B228,Pipeline!$A$2:$B$500,2,FALSE()),"")</f>
        <v/>
      </c>
    </row>
    <row r="229" customFormat="false" ht="15" hidden="false" customHeight="false" outlineLevel="0" collapsed="false">
      <c r="C229" s="41" t="str">
        <f aca="false">IFERROR(VLOOKUP(B229,Pipeline!$A$2:$B$500,2,FALSE()),"")</f>
        <v/>
      </c>
    </row>
    <row r="230" customFormat="false" ht="15" hidden="false" customHeight="false" outlineLevel="0" collapsed="false">
      <c r="C230" s="41" t="str">
        <f aca="false">IFERROR(VLOOKUP(B230,Pipeline!$A$2:$B$500,2,FALSE()),"")</f>
        <v/>
      </c>
    </row>
    <row r="231" customFormat="false" ht="15" hidden="false" customHeight="false" outlineLevel="0" collapsed="false">
      <c r="C231" s="41" t="str">
        <f aca="false">IFERROR(VLOOKUP(B231,Pipeline!$A$2:$B$500,2,FALSE()),"")</f>
        <v/>
      </c>
    </row>
    <row r="232" customFormat="false" ht="15" hidden="false" customHeight="false" outlineLevel="0" collapsed="false">
      <c r="C232" s="41" t="str">
        <f aca="false">IFERROR(VLOOKUP(B232,Pipeline!$A$2:$B$500,2,FALSE()),"")</f>
        <v/>
      </c>
    </row>
    <row r="233" customFormat="false" ht="15" hidden="false" customHeight="false" outlineLevel="0" collapsed="false">
      <c r="C233" s="41" t="str">
        <f aca="false">IFERROR(VLOOKUP(B233,Pipeline!$A$2:$B$500,2,FALSE()),"")</f>
        <v/>
      </c>
    </row>
    <row r="234" customFormat="false" ht="15" hidden="false" customHeight="false" outlineLevel="0" collapsed="false">
      <c r="C234" s="41" t="str">
        <f aca="false">IFERROR(VLOOKUP(B234,Pipeline!$A$2:$B$500,2,FALSE()),"")</f>
        <v/>
      </c>
    </row>
    <row r="235" customFormat="false" ht="15" hidden="false" customHeight="false" outlineLevel="0" collapsed="false">
      <c r="C235" s="41" t="str">
        <f aca="false">IFERROR(VLOOKUP(B235,Pipeline!$A$2:$B$500,2,FALSE()),"")</f>
        <v/>
      </c>
    </row>
    <row r="236" customFormat="false" ht="15" hidden="false" customHeight="false" outlineLevel="0" collapsed="false">
      <c r="C236" s="41" t="str">
        <f aca="false">IFERROR(VLOOKUP(B236,Pipeline!$A$2:$B$500,2,FALSE()),"")</f>
        <v/>
      </c>
    </row>
    <row r="237" customFormat="false" ht="15" hidden="false" customHeight="false" outlineLevel="0" collapsed="false">
      <c r="C237" s="41" t="str">
        <f aca="false">IFERROR(VLOOKUP(B237,Pipeline!$A$2:$B$500,2,FALSE()),"")</f>
        <v/>
      </c>
    </row>
    <row r="238" customFormat="false" ht="15" hidden="false" customHeight="false" outlineLevel="0" collapsed="false">
      <c r="C238" s="41" t="str">
        <f aca="false">IFERROR(VLOOKUP(B238,Pipeline!$A$2:$B$500,2,FALSE()),"")</f>
        <v/>
      </c>
    </row>
    <row r="239" customFormat="false" ht="15" hidden="false" customHeight="false" outlineLevel="0" collapsed="false">
      <c r="C239" s="41" t="str">
        <f aca="false">IFERROR(VLOOKUP(B239,Pipeline!$A$2:$B$500,2,FALSE()),"")</f>
        <v/>
      </c>
    </row>
    <row r="240" customFormat="false" ht="15" hidden="false" customHeight="false" outlineLevel="0" collapsed="false">
      <c r="C240" s="41" t="str">
        <f aca="false">IFERROR(VLOOKUP(B240,Pipeline!$A$2:$B$500,2,FALSE()),"")</f>
        <v/>
      </c>
    </row>
    <row r="241" customFormat="false" ht="15" hidden="false" customHeight="false" outlineLevel="0" collapsed="false">
      <c r="C241" s="41" t="str">
        <f aca="false">IFERROR(VLOOKUP(B241,Pipeline!$A$2:$B$500,2,FALSE()),"")</f>
        <v/>
      </c>
    </row>
    <row r="242" customFormat="false" ht="15" hidden="false" customHeight="false" outlineLevel="0" collapsed="false">
      <c r="C242" s="41" t="str">
        <f aca="false">IFERROR(VLOOKUP(B242,Pipeline!$A$2:$B$500,2,FALSE()),"")</f>
        <v/>
      </c>
    </row>
    <row r="243" customFormat="false" ht="15" hidden="false" customHeight="false" outlineLevel="0" collapsed="false">
      <c r="C243" s="41" t="str">
        <f aca="false">IFERROR(VLOOKUP(B243,Pipeline!$A$2:$B$500,2,FALSE()),"")</f>
        <v/>
      </c>
    </row>
    <row r="244" customFormat="false" ht="15" hidden="false" customHeight="false" outlineLevel="0" collapsed="false">
      <c r="C244" s="41" t="str">
        <f aca="false">IFERROR(VLOOKUP(B244,Pipeline!$A$2:$B$500,2,FALSE()),"")</f>
        <v/>
      </c>
    </row>
    <row r="245" customFormat="false" ht="15" hidden="false" customHeight="false" outlineLevel="0" collapsed="false">
      <c r="C245" s="41" t="str">
        <f aca="false">IFERROR(VLOOKUP(B245,Pipeline!$A$2:$B$500,2,FALSE()),"")</f>
        <v/>
      </c>
    </row>
    <row r="246" customFormat="false" ht="15" hidden="false" customHeight="false" outlineLevel="0" collapsed="false">
      <c r="C246" s="41" t="str">
        <f aca="false">IFERROR(VLOOKUP(B246,Pipeline!$A$2:$B$500,2,FALSE()),"")</f>
        <v/>
      </c>
    </row>
    <row r="247" customFormat="false" ht="15" hidden="false" customHeight="false" outlineLevel="0" collapsed="false">
      <c r="C247" s="41" t="str">
        <f aca="false">IFERROR(VLOOKUP(B247,Pipeline!$A$2:$B$500,2,FALSE()),"")</f>
        <v/>
      </c>
    </row>
    <row r="248" customFormat="false" ht="15" hidden="false" customHeight="false" outlineLevel="0" collapsed="false">
      <c r="C248" s="41" t="str">
        <f aca="false">IFERROR(VLOOKUP(B248,Pipeline!$A$2:$B$500,2,FALSE()),"")</f>
        <v/>
      </c>
    </row>
    <row r="249" customFormat="false" ht="15" hidden="false" customHeight="false" outlineLevel="0" collapsed="false">
      <c r="C249" s="41" t="str">
        <f aca="false">IFERROR(VLOOKUP(B249,Pipeline!$A$2:$B$500,2,FALSE()),"")</f>
        <v/>
      </c>
    </row>
    <row r="250" customFormat="false" ht="15" hidden="false" customHeight="false" outlineLevel="0" collapsed="false">
      <c r="C250" s="41" t="str">
        <f aca="false">IFERROR(VLOOKUP(B250,Pipeline!$A$2:$B$500,2,FALSE()),"")</f>
        <v/>
      </c>
    </row>
    <row r="251" customFormat="false" ht="15" hidden="false" customHeight="false" outlineLevel="0" collapsed="false">
      <c r="C251" s="41" t="str">
        <f aca="false">IFERROR(VLOOKUP(B251,Pipeline!$A$2:$B$500,2,FALSE()),"")</f>
        <v/>
      </c>
    </row>
    <row r="252" customFormat="false" ht="15" hidden="false" customHeight="false" outlineLevel="0" collapsed="false">
      <c r="C252" s="41" t="str">
        <f aca="false">IFERROR(VLOOKUP(B252,Pipeline!$A$2:$B$500,2,FALSE()),"")</f>
        <v/>
      </c>
    </row>
    <row r="253" customFormat="false" ht="15" hidden="false" customHeight="false" outlineLevel="0" collapsed="false">
      <c r="C253" s="41" t="str">
        <f aca="false">IFERROR(VLOOKUP(B253,Pipeline!$A$2:$B$500,2,FALSE()),"")</f>
        <v/>
      </c>
    </row>
    <row r="254" customFormat="false" ht="15" hidden="false" customHeight="false" outlineLevel="0" collapsed="false">
      <c r="C254" s="41" t="str">
        <f aca="false">IFERROR(VLOOKUP(B254,Pipeline!$A$2:$B$500,2,FALSE()),"")</f>
        <v/>
      </c>
    </row>
    <row r="255" customFormat="false" ht="15" hidden="false" customHeight="false" outlineLevel="0" collapsed="false">
      <c r="C255" s="41" t="str">
        <f aca="false">IFERROR(VLOOKUP(B255,Pipeline!$A$2:$B$500,2,FALSE()),"")</f>
        <v/>
      </c>
    </row>
    <row r="256" customFormat="false" ht="15" hidden="false" customHeight="false" outlineLevel="0" collapsed="false">
      <c r="C256" s="41" t="str">
        <f aca="false">IFERROR(VLOOKUP(B256,Pipeline!$A$2:$B$500,2,FALSE()),"")</f>
        <v/>
      </c>
    </row>
    <row r="257" customFormat="false" ht="15" hidden="false" customHeight="false" outlineLevel="0" collapsed="false">
      <c r="C257" s="41" t="str">
        <f aca="false">IFERROR(VLOOKUP(B257,Pipeline!$A$2:$B$500,2,FALSE()),"")</f>
        <v/>
      </c>
    </row>
    <row r="258" customFormat="false" ht="15" hidden="false" customHeight="false" outlineLevel="0" collapsed="false">
      <c r="C258" s="41" t="str">
        <f aca="false">IFERROR(VLOOKUP(B258,Pipeline!$A$2:$B$500,2,FALSE()),"")</f>
        <v/>
      </c>
    </row>
    <row r="259" customFormat="false" ht="15" hidden="false" customHeight="false" outlineLevel="0" collapsed="false">
      <c r="C259" s="41" t="str">
        <f aca="false">IFERROR(VLOOKUP(B259,Pipeline!$A$2:$B$500,2,FALSE()),"")</f>
        <v/>
      </c>
    </row>
    <row r="260" customFormat="false" ht="15" hidden="false" customHeight="false" outlineLevel="0" collapsed="false">
      <c r="C260" s="41" t="str">
        <f aca="false">IFERROR(VLOOKUP(B260,Pipeline!$A$2:$B$500,2,FALSE()),"")</f>
        <v/>
      </c>
    </row>
    <row r="261" customFormat="false" ht="15" hidden="false" customHeight="false" outlineLevel="0" collapsed="false">
      <c r="C261" s="41" t="str">
        <f aca="false">IFERROR(VLOOKUP(B261,Pipeline!$A$2:$B$500,2,FALSE()),"")</f>
        <v/>
      </c>
    </row>
    <row r="262" customFormat="false" ht="15" hidden="false" customHeight="false" outlineLevel="0" collapsed="false">
      <c r="C262" s="41" t="str">
        <f aca="false">IFERROR(VLOOKUP(B262,Pipeline!$A$2:$B$500,2,FALSE()),"")</f>
        <v/>
      </c>
    </row>
    <row r="263" customFormat="false" ht="15" hidden="false" customHeight="false" outlineLevel="0" collapsed="false">
      <c r="C263" s="41" t="str">
        <f aca="false">IFERROR(VLOOKUP(B263,Pipeline!$A$2:$B$500,2,FALSE()),"")</f>
        <v/>
      </c>
    </row>
    <row r="264" customFormat="false" ht="15" hidden="false" customHeight="false" outlineLevel="0" collapsed="false">
      <c r="C264" s="41" t="str">
        <f aca="false">IFERROR(VLOOKUP(B264,Pipeline!$A$2:$B$500,2,FALSE()),"")</f>
        <v/>
      </c>
    </row>
    <row r="265" customFormat="false" ht="15" hidden="false" customHeight="false" outlineLevel="0" collapsed="false">
      <c r="C265" s="41" t="str">
        <f aca="false">IFERROR(VLOOKUP(B265,Pipeline!$A$2:$B$500,2,FALSE()),"")</f>
        <v/>
      </c>
    </row>
    <row r="266" customFormat="false" ht="15" hidden="false" customHeight="false" outlineLevel="0" collapsed="false">
      <c r="C266" s="41" t="str">
        <f aca="false">IFERROR(VLOOKUP(B266,Pipeline!$A$2:$B$500,2,FALSE()),"")</f>
        <v/>
      </c>
    </row>
    <row r="267" customFormat="false" ht="15" hidden="false" customHeight="false" outlineLevel="0" collapsed="false">
      <c r="C267" s="41" t="str">
        <f aca="false">IFERROR(VLOOKUP(B267,Pipeline!$A$2:$B$500,2,FALSE()),"")</f>
        <v/>
      </c>
    </row>
    <row r="268" customFormat="false" ht="15" hidden="false" customHeight="false" outlineLevel="0" collapsed="false">
      <c r="C268" s="41" t="str">
        <f aca="false">IFERROR(VLOOKUP(B268,Pipeline!$A$2:$B$500,2,FALSE()),"")</f>
        <v/>
      </c>
    </row>
    <row r="269" customFormat="false" ht="15" hidden="false" customHeight="false" outlineLevel="0" collapsed="false">
      <c r="C269" s="41" t="str">
        <f aca="false">IFERROR(VLOOKUP(B269,Pipeline!$A$2:$B$500,2,FALSE()),"")</f>
        <v/>
      </c>
    </row>
    <row r="270" customFormat="false" ht="15" hidden="false" customHeight="false" outlineLevel="0" collapsed="false">
      <c r="C270" s="41" t="str">
        <f aca="false">IFERROR(VLOOKUP(B270,Pipeline!$A$2:$B$500,2,FALSE()),"")</f>
        <v/>
      </c>
    </row>
    <row r="271" customFormat="false" ht="15" hidden="false" customHeight="false" outlineLevel="0" collapsed="false">
      <c r="C271" s="41" t="str">
        <f aca="false">IFERROR(VLOOKUP(B271,Pipeline!$A$2:$B$500,2,FALSE()),"")</f>
        <v/>
      </c>
    </row>
    <row r="272" customFormat="false" ht="15" hidden="false" customHeight="false" outlineLevel="0" collapsed="false">
      <c r="C272" s="41" t="str">
        <f aca="false">IFERROR(VLOOKUP(B272,Pipeline!$A$2:$B$500,2,FALSE()),"")</f>
        <v/>
      </c>
    </row>
    <row r="273" customFormat="false" ht="15" hidden="false" customHeight="false" outlineLevel="0" collapsed="false">
      <c r="C273" s="41" t="str">
        <f aca="false">IFERROR(VLOOKUP(B273,Pipeline!$A$2:$B$500,2,FALSE()),"")</f>
        <v/>
      </c>
    </row>
    <row r="274" customFormat="false" ht="15" hidden="false" customHeight="false" outlineLevel="0" collapsed="false">
      <c r="C274" s="41" t="str">
        <f aca="false">IFERROR(VLOOKUP(B274,Pipeline!$A$2:$B$500,2,FALSE()),"")</f>
        <v/>
      </c>
    </row>
    <row r="275" customFormat="false" ht="15" hidden="false" customHeight="false" outlineLevel="0" collapsed="false">
      <c r="C275" s="41" t="str">
        <f aca="false">IFERROR(VLOOKUP(B275,Pipeline!$A$2:$B$500,2,FALSE()),"")</f>
        <v/>
      </c>
    </row>
    <row r="276" customFormat="false" ht="15" hidden="false" customHeight="false" outlineLevel="0" collapsed="false">
      <c r="C276" s="41" t="str">
        <f aca="false">IFERROR(VLOOKUP(B276,Pipeline!$A$2:$B$500,2,FALSE()),"")</f>
        <v/>
      </c>
    </row>
    <row r="277" customFormat="false" ht="15" hidden="false" customHeight="false" outlineLevel="0" collapsed="false">
      <c r="C277" s="41" t="str">
        <f aca="false">IFERROR(VLOOKUP(B277,Pipeline!$A$2:$B$500,2,FALSE()),"")</f>
        <v/>
      </c>
    </row>
    <row r="278" customFormat="false" ht="15" hidden="false" customHeight="false" outlineLevel="0" collapsed="false">
      <c r="C278" s="41" t="str">
        <f aca="false">IFERROR(VLOOKUP(B278,Pipeline!$A$2:$B$500,2,FALSE()),"")</f>
        <v/>
      </c>
    </row>
    <row r="279" customFormat="false" ht="15" hidden="false" customHeight="false" outlineLevel="0" collapsed="false">
      <c r="C279" s="41" t="str">
        <f aca="false">IFERROR(VLOOKUP(B279,Pipeline!$A$2:$B$500,2,FALSE()),"")</f>
        <v/>
      </c>
    </row>
    <row r="280" customFormat="false" ht="15" hidden="false" customHeight="false" outlineLevel="0" collapsed="false">
      <c r="C280" s="41" t="str">
        <f aca="false">IFERROR(VLOOKUP(B280,Pipeline!$A$2:$B$500,2,FALSE()),"")</f>
        <v/>
      </c>
    </row>
    <row r="281" customFormat="false" ht="15" hidden="false" customHeight="false" outlineLevel="0" collapsed="false">
      <c r="C281" s="41" t="str">
        <f aca="false">IFERROR(VLOOKUP(B281,Pipeline!$A$2:$B$500,2,FALSE()),"")</f>
        <v/>
      </c>
    </row>
    <row r="282" customFormat="false" ht="15" hidden="false" customHeight="false" outlineLevel="0" collapsed="false">
      <c r="C282" s="41" t="str">
        <f aca="false">IFERROR(VLOOKUP(B282,Pipeline!$A$2:$B$500,2,FALSE()),"")</f>
        <v/>
      </c>
    </row>
    <row r="283" customFormat="false" ht="15" hidden="false" customHeight="false" outlineLevel="0" collapsed="false">
      <c r="C283" s="41" t="str">
        <f aca="false">IFERROR(VLOOKUP(B283,Pipeline!$A$2:$B$500,2,FALSE()),"")</f>
        <v/>
      </c>
    </row>
    <row r="284" customFormat="false" ht="15" hidden="false" customHeight="false" outlineLevel="0" collapsed="false">
      <c r="C284" s="41" t="str">
        <f aca="false">IFERROR(VLOOKUP(B284,Pipeline!$A$2:$B$500,2,FALSE()),"")</f>
        <v/>
      </c>
    </row>
    <row r="285" customFormat="false" ht="15" hidden="false" customHeight="false" outlineLevel="0" collapsed="false">
      <c r="C285" s="41" t="str">
        <f aca="false">IFERROR(VLOOKUP(B285,Pipeline!$A$2:$B$500,2,FALSE()),"")</f>
        <v/>
      </c>
    </row>
    <row r="286" customFormat="false" ht="15" hidden="false" customHeight="false" outlineLevel="0" collapsed="false">
      <c r="C286" s="41" t="str">
        <f aca="false">IFERROR(VLOOKUP(B286,Pipeline!$A$2:$B$500,2,FALSE()),"")</f>
        <v/>
      </c>
    </row>
    <row r="287" customFormat="false" ht="15" hidden="false" customHeight="false" outlineLevel="0" collapsed="false">
      <c r="C287" s="41" t="str">
        <f aca="false">IFERROR(VLOOKUP(B287,Pipeline!$A$2:$B$500,2,FALSE()),"")</f>
        <v/>
      </c>
    </row>
    <row r="288" customFormat="false" ht="15" hidden="false" customHeight="false" outlineLevel="0" collapsed="false">
      <c r="C288" s="41" t="str">
        <f aca="false">IFERROR(VLOOKUP(B288,Pipeline!$A$2:$B$500,2,FALSE()),"")</f>
        <v/>
      </c>
    </row>
    <row r="289" customFormat="false" ht="15" hidden="false" customHeight="false" outlineLevel="0" collapsed="false">
      <c r="C289" s="41" t="str">
        <f aca="false">IFERROR(VLOOKUP(B289,Pipeline!$A$2:$B$500,2,FALSE()),"")</f>
        <v/>
      </c>
    </row>
    <row r="290" customFormat="false" ht="15" hidden="false" customHeight="false" outlineLevel="0" collapsed="false">
      <c r="C290" s="41" t="str">
        <f aca="false">IFERROR(VLOOKUP(B290,Pipeline!$A$2:$B$500,2,FALSE()),"")</f>
        <v/>
      </c>
    </row>
    <row r="291" customFormat="false" ht="15" hidden="false" customHeight="false" outlineLevel="0" collapsed="false">
      <c r="C291" s="41" t="str">
        <f aca="false">IFERROR(VLOOKUP(B291,Pipeline!$A$2:$B$500,2,FALSE()),"")</f>
        <v/>
      </c>
    </row>
    <row r="292" customFormat="false" ht="15" hidden="false" customHeight="false" outlineLevel="0" collapsed="false">
      <c r="C292" s="41" t="str">
        <f aca="false">IFERROR(VLOOKUP(B292,Pipeline!$A$2:$B$500,2,FALSE()),"")</f>
        <v/>
      </c>
    </row>
    <row r="293" customFormat="false" ht="15" hidden="false" customHeight="false" outlineLevel="0" collapsed="false">
      <c r="C293" s="41" t="str">
        <f aca="false">IFERROR(VLOOKUP(B293,Pipeline!$A$2:$B$500,2,FALSE()),"")</f>
        <v/>
      </c>
    </row>
    <row r="294" customFormat="false" ht="15" hidden="false" customHeight="false" outlineLevel="0" collapsed="false">
      <c r="C294" s="41" t="str">
        <f aca="false">IFERROR(VLOOKUP(B294,Pipeline!$A$2:$B$500,2,FALSE()),"")</f>
        <v/>
      </c>
    </row>
    <row r="295" customFormat="false" ht="15" hidden="false" customHeight="false" outlineLevel="0" collapsed="false">
      <c r="C295" s="41" t="str">
        <f aca="false">IFERROR(VLOOKUP(B295,Pipeline!$A$2:$B$500,2,FALSE()),"")</f>
        <v/>
      </c>
    </row>
    <row r="296" customFormat="false" ht="15" hidden="false" customHeight="false" outlineLevel="0" collapsed="false">
      <c r="C296" s="41" t="str">
        <f aca="false">IFERROR(VLOOKUP(B296,Pipeline!$A$2:$B$500,2,FALSE()),"")</f>
        <v/>
      </c>
    </row>
    <row r="297" customFormat="false" ht="15" hidden="false" customHeight="false" outlineLevel="0" collapsed="false">
      <c r="C297" s="41" t="str">
        <f aca="false">IFERROR(VLOOKUP(B297,Pipeline!$A$2:$B$500,2,FALSE()),"")</f>
        <v/>
      </c>
    </row>
    <row r="298" customFormat="false" ht="15" hidden="false" customHeight="false" outlineLevel="0" collapsed="false">
      <c r="C298" s="41" t="str">
        <f aca="false">IFERROR(VLOOKUP(B298,Pipeline!$A$2:$B$500,2,FALSE()),"")</f>
        <v/>
      </c>
    </row>
    <row r="299" customFormat="false" ht="15" hidden="false" customHeight="false" outlineLevel="0" collapsed="false">
      <c r="C299" s="41" t="str">
        <f aca="false">IFERROR(VLOOKUP(B299,Pipeline!$A$2:$B$500,2,FALSE()),"")</f>
        <v/>
      </c>
    </row>
    <row r="300" customFormat="false" ht="15" hidden="false" customHeight="false" outlineLevel="0" collapsed="false">
      <c r="C300" s="41" t="str">
        <f aca="false">IFERROR(VLOOKUP(B300,Pipeline!$A$2:$B$500,2,FALSE()),"")</f>
        <v/>
      </c>
    </row>
    <row r="301" customFormat="false" ht="15" hidden="false" customHeight="false" outlineLevel="0" collapsed="false">
      <c r="C301" s="41" t="str">
        <f aca="false">IFERROR(VLOOKUP(B301,Pipeline!$A$2:$B$500,2,FALSE()),"")</f>
        <v/>
      </c>
    </row>
    <row r="302" customFormat="false" ht="15" hidden="false" customHeight="false" outlineLevel="0" collapsed="false">
      <c r="C302" s="41" t="str">
        <f aca="false">IFERROR(VLOOKUP(B302,Pipeline!$A$2:$B$500,2,FALSE()),"")</f>
        <v/>
      </c>
    </row>
    <row r="303" customFormat="false" ht="15" hidden="false" customHeight="false" outlineLevel="0" collapsed="false">
      <c r="C303" s="41" t="str">
        <f aca="false">IFERROR(VLOOKUP(B303,Pipeline!$A$2:$B$500,2,FALSE()),"")</f>
        <v/>
      </c>
    </row>
    <row r="304" customFormat="false" ht="15" hidden="false" customHeight="false" outlineLevel="0" collapsed="false">
      <c r="C304" s="41" t="str">
        <f aca="false">IFERROR(VLOOKUP(B304,Pipeline!$A$2:$B$500,2,FALSE()),"")</f>
        <v/>
      </c>
    </row>
    <row r="305" customFormat="false" ht="15" hidden="false" customHeight="false" outlineLevel="0" collapsed="false">
      <c r="C305" s="41" t="str">
        <f aca="false">IFERROR(VLOOKUP(B305,Pipeline!$A$2:$B$500,2,FALSE()),"")</f>
        <v/>
      </c>
    </row>
    <row r="306" customFormat="false" ht="15" hidden="false" customHeight="false" outlineLevel="0" collapsed="false">
      <c r="C306" s="41" t="str">
        <f aca="false">IFERROR(VLOOKUP(B306,Pipeline!$A$2:$B$500,2,FALSE()),"")</f>
        <v/>
      </c>
    </row>
    <row r="307" customFormat="false" ht="15" hidden="false" customHeight="false" outlineLevel="0" collapsed="false">
      <c r="C307" s="41" t="str">
        <f aca="false">IFERROR(VLOOKUP(B307,Pipeline!$A$2:$B$500,2,FALSE()),"")</f>
        <v/>
      </c>
    </row>
    <row r="308" customFormat="false" ht="15" hidden="false" customHeight="false" outlineLevel="0" collapsed="false">
      <c r="C308" s="41" t="str">
        <f aca="false">IFERROR(VLOOKUP(B308,Pipeline!$A$2:$B$500,2,FALSE()),"")</f>
        <v/>
      </c>
    </row>
    <row r="309" customFormat="false" ht="15" hidden="false" customHeight="false" outlineLevel="0" collapsed="false">
      <c r="C309" s="41" t="str">
        <f aca="false">IFERROR(VLOOKUP(B309,Pipeline!$A$2:$B$500,2,FALSE()),"")</f>
        <v/>
      </c>
    </row>
    <row r="310" customFormat="false" ht="15" hidden="false" customHeight="false" outlineLevel="0" collapsed="false">
      <c r="C310" s="41" t="str">
        <f aca="false">IFERROR(VLOOKUP(B310,Pipeline!$A$2:$B$500,2,FALSE()),"")</f>
        <v/>
      </c>
    </row>
    <row r="311" customFormat="false" ht="15" hidden="false" customHeight="false" outlineLevel="0" collapsed="false">
      <c r="C311" s="41" t="str">
        <f aca="false">IFERROR(VLOOKUP(B311,Pipeline!$A$2:$B$500,2,FALSE()),"")</f>
        <v/>
      </c>
    </row>
    <row r="312" customFormat="false" ht="15" hidden="false" customHeight="false" outlineLevel="0" collapsed="false">
      <c r="C312" s="41" t="str">
        <f aca="false">IFERROR(VLOOKUP(B312,Pipeline!$A$2:$B$500,2,FALSE()),"")</f>
        <v/>
      </c>
    </row>
    <row r="313" customFormat="false" ht="15" hidden="false" customHeight="false" outlineLevel="0" collapsed="false">
      <c r="C313" s="41" t="str">
        <f aca="false">IFERROR(VLOOKUP(B313,Pipeline!$A$2:$B$500,2,FALSE()),"")</f>
        <v/>
      </c>
    </row>
    <row r="314" customFormat="false" ht="15" hidden="false" customHeight="false" outlineLevel="0" collapsed="false">
      <c r="C314" s="41" t="str">
        <f aca="false">IFERROR(VLOOKUP(B314,Pipeline!$A$2:$B$500,2,FALSE()),"")</f>
        <v/>
      </c>
    </row>
    <row r="315" customFormat="false" ht="15" hidden="false" customHeight="false" outlineLevel="0" collapsed="false">
      <c r="C315" s="41" t="str">
        <f aca="false">IFERROR(VLOOKUP(B315,Pipeline!$A$2:$B$500,2,FALSE()),"")</f>
        <v/>
      </c>
    </row>
    <row r="316" customFormat="false" ht="15" hidden="false" customHeight="false" outlineLevel="0" collapsed="false">
      <c r="C316" s="41" t="str">
        <f aca="false">IFERROR(VLOOKUP(B316,Pipeline!$A$2:$B$500,2,FALSE()),"")</f>
        <v/>
      </c>
    </row>
    <row r="317" customFormat="false" ht="15" hidden="false" customHeight="false" outlineLevel="0" collapsed="false">
      <c r="C317" s="41" t="str">
        <f aca="false">IFERROR(VLOOKUP(B317,Pipeline!$A$2:$B$500,2,FALSE()),"")</f>
        <v/>
      </c>
    </row>
    <row r="318" customFormat="false" ht="15" hidden="false" customHeight="false" outlineLevel="0" collapsed="false">
      <c r="C318" s="41" t="str">
        <f aca="false">IFERROR(VLOOKUP(B318,Pipeline!$A$2:$B$500,2,FALSE()),"")</f>
        <v/>
      </c>
    </row>
    <row r="319" customFormat="false" ht="15" hidden="false" customHeight="false" outlineLevel="0" collapsed="false">
      <c r="C319" s="41" t="str">
        <f aca="false">IFERROR(VLOOKUP(B319,Pipeline!$A$2:$B$500,2,FALSE()),"")</f>
        <v/>
      </c>
    </row>
    <row r="320" customFormat="false" ht="15" hidden="false" customHeight="false" outlineLevel="0" collapsed="false">
      <c r="C320" s="41" t="str">
        <f aca="false">IFERROR(VLOOKUP(B320,Pipeline!$A$2:$B$500,2,FALSE()),"")</f>
        <v/>
      </c>
    </row>
    <row r="321" customFormat="false" ht="15" hidden="false" customHeight="false" outlineLevel="0" collapsed="false">
      <c r="C321" s="41" t="str">
        <f aca="false">IFERROR(VLOOKUP(B321,Pipeline!$A$2:$B$500,2,FALSE()),"")</f>
        <v/>
      </c>
    </row>
    <row r="322" customFormat="false" ht="15" hidden="false" customHeight="false" outlineLevel="0" collapsed="false">
      <c r="C322" s="41" t="str">
        <f aca="false">IFERROR(VLOOKUP(B322,Pipeline!$A$2:$B$500,2,FALSE()),"")</f>
        <v/>
      </c>
    </row>
    <row r="323" customFormat="false" ht="15" hidden="false" customHeight="false" outlineLevel="0" collapsed="false">
      <c r="C323" s="41" t="str">
        <f aca="false">IFERROR(VLOOKUP(B323,Pipeline!$A$2:$B$500,2,FALSE()),"")</f>
        <v/>
      </c>
    </row>
    <row r="324" customFormat="false" ht="15" hidden="false" customHeight="false" outlineLevel="0" collapsed="false">
      <c r="C324" s="41" t="str">
        <f aca="false">IFERROR(VLOOKUP(B324,Pipeline!$A$2:$B$500,2,FALSE()),"")</f>
        <v/>
      </c>
    </row>
    <row r="325" customFormat="false" ht="15" hidden="false" customHeight="false" outlineLevel="0" collapsed="false">
      <c r="C325" s="41" t="str">
        <f aca="false">IFERROR(VLOOKUP(B325,Pipeline!$A$2:$B$500,2,FALSE()),"")</f>
        <v/>
      </c>
    </row>
    <row r="326" customFormat="false" ht="15" hidden="false" customHeight="false" outlineLevel="0" collapsed="false">
      <c r="C326" s="41" t="str">
        <f aca="false">IFERROR(VLOOKUP(B326,Pipeline!$A$2:$B$500,2,FALSE()),"")</f>
        <v/>
      </c>
    </row>
    <row r="327" customFormat="false" ht="15" hidden="false" customHeight="false" outlineLevel="0" collapsed="false">
      <c r="C327" s="41" t="str">
        <f aca="false">IFERROR(VLOOKUP(B327,Pipeline!$A$2:$B$500,2,FALSE()),"")</f>
        <v/>
      </c>
    </row>
    <row r="328" customFormat="false" ht="15" hidden="false" customHeight="false" outlineLevel="0" collapsed="false">
      <c r="C328" s="41" t="str">
        <f aca="false">IFERROR(VLOOKUP(B328,Pipeline!$A$2:$B$500,2,FALSE()),"")</f>
        <v/>
      </c>
    </row>
    <row r="329" customFormat="false" ht="15" hidden="false" customHeight="false" outlineLevel="0" collapsed="false">
      <c r="C329" s="41" t="str">
        <f aca="false">IFERROR(VLOOKUP(B329,Pipeline!$A$2:$B$500,2,FALSE()),"")</f>
        <v/>
      </c>
    </row>
    <row r="330" customFormat="false" ht="15" hidden="false" customHeight="false" outlineLevel="0" collapsed="false">
      <c r="C330" s="41" t="str">
        <f aca="false">IFERROR(VLOOKUP(B330,Pipeline!$A$2:$B$500,2,FALSE()),"")</f>
        <v/>
      </c>
    </row>
    <row r="331" customFormat="false" ht="15" hidden="false" customHeight="false" outlineLevel="0" collapsed="false">
      <c r="C331" s="41" t="str">
        <f aca="false">IFERROR(VLOOKUP(B331,Pipeline!$A$2:$B$500,2,FALSE()),"")</f>
        <v/>
      </c>
    </row>
    <row r="332" customFormat="false" ht="15" hidden="false" customHeight="false" outlineLevel="0" collapsed="false">
      <c r="C332" s="41" t="str">
        <f aca="false">IFERROR(VLOOKUP(B332,Pipeline!$A$2:$B$500,2,FALSE()),"")</f>
        <v/>
      </c>
    </row>
    <row r="333" customFormat="false" ht="15" hidden="false" customHeight="false" outlineLevel="0" collapsed="false">
      <c r="C333" s="41" t="str">
        <f aca="false">IFERROR(VLOOKUP(B333,Pipeline!$A$2:$B$500,2,FALSE()),"")</f>
        <v/>
      </c>
    </row>
    <row r="334" customFormat="false" ht="15" hidden="false" customHeight="false" outlineLevel="0" collapsed="false">
      <c r="C334" s="41" t="str">
        <f aca="false">IFERROR(VLOOKUP(B334,Pipeline!$A$2:$B$500,2,FALSE()),"")</f>
        <v/>
      </c>
    </row>
    <row r="335" customFormat="false" ht="15" hidden="false" customHeight="false" outlineLevel="0" collapsed="false">
      <c r="C335" s="41" t="str">
        <f aca="false">IFERROR(VLOOKUP(B335,Pipeline!$A$2:$B$500,2,FALSE()),"")</f>
        <v/>
      </c>
    </row>
    <row r="336" customFormat="false" ht="15" hidden="false" customHeight="false" outlineLevel="0" collapsed="false">
      <c r="C336" s="41" t="str">
        <f aca="false">IFERROR(VLOOKUP(B336,Pipeline!$A$2:$B$500,2,FALSE()),"")</f>
        <v/>
      </c>
    </row>
    <row r="337" customFormat="false" ht="15" hidden="false" customHeight="false" outlineLevel="0" collapsed="false">
      <c r="C337" s="41" t="str">
        <f aca="false">IFERROR(VLOOKUP(B337,Pipeline!$A$2:$B$500,2,FALSE()),"")</f>
        <v/>
      </c>
    </row>
    <row r="338" customFormat="false" ht="15" hidden="false" customHeight="false" outlineLevel="0" collapsed="false">
      <c r="C338" s="41" t="str">
        <f aca="false">IFERROR(VLOOKUP(B338,Pipeline!$A$2:$B$500,2,FALSE()),"")</f>
        <v/>
      </c>
    </row>
    <row r="339" customFormat="false" ht="15" hidden="false" customHeight="false" outlineLevel="0" collapsed="false">
      <c r="C339" s="41" t="str">
        <f aca="false">IFERROR(VLOOKUP(B339,Pipeline!$A$2:$B$500,2,FALSE()),"")</f>
        <v/>
      </c>
    </row>
    <row r="340" customFormat="false" ht="15" hidden="false" customHeight="false" outlineLevel="0" collapsed="false">
      <c r="C340" s="41" t="str">
        <f aca="false">IFERROR(VLOOKUP(B340,Pipeline!$A$2:$B$500,2,FALSE()),"")</f>
        <v/>
      </c>
    </row>
    <row r="341" customFormat="false" ht="15" hidden="false" customHeight="false" outlineLevel="0" collapsed="false">
      <c r="C341" s="41" t="str">
        <f aca="false">IFERROR(VLOOKUP(B341,Pipeline!$A$2:$B$500,2,FALSE()),"")</f>
        <v/>
      </c>
    </row>
    <row r="342" customFormat="false" ht="15" hidden="false" customHeight="false" outlineLevel="0" collapsed="false">
      <c r="C342" s="41" t="str">
        <f aca="false">IFERROR(VLOOKUP(B342,Pipeline!$A$2:$B$500,2,FALSE()),"")</f>
        <v/>
      </c>
    </row>
    <row r="343" customFormat="false" ht="15" hidden="false" customHeight="false" outlineLevel="0" collapsed="false">
      <c r="C343" s="41" t="str">
        <f aca="false">IFERROR(VLOOKUP(B343,Pipeline!$A$2:$B$500,2,FALSE()),"")</f>
        <v/>
      </c>
    </row>
    <row r="344" customFormat="false" ht="15" hidden="false" customHeight="false" outlineLevel="0" collapsed="false">
      <c r="C344" s="41" t="str">
        <f aca="false">IFERROR(VLOOKUP(B344,Pipeline!$A$2:$B$500,2,FALSE()),"")</f>
        <v/>
      </c>
    </row>
    <row r="345" customFormat="false" ht="15" hidden="false" customHeight="false" outlineLevel="0" collapsed="false">
      <c r="C345" s="41" t="str">
        <f aca="false">IFERROR(VLOOKUP(B345,Pipeline!$A$2:$B$500,2,FALSE()),"")</f>
        <v/>
      </c>
    </row>
    <row r="346" customFormat="false" ht="15" hidden="false" customHeight="false" outlineLevel="0" collapsed="false">
      <c r="C346" s="41" t="str">
        <f aca="false">IFERROR(VLOOKUP(B346,Pipeline!$A$2:$B$500,2,FALSE()),"")</f>
        <v/>
      </c>
    </row>
    <row r="347" customFormat="false" ht="15" hidden="false" customHeight="false" outlineLevel="0" collapsed="false">
      <c r="C347" s="41" t="str">
        <f aca="false">IFERROR(VLOOKUP(B347,Pipeline!$A$2:$B$500,2,FALSE()),"")</f>
        <v/>
      </c>
    </row>
    <row r="348" customFormat="false" ht="15" hidden="false" customHeight="false" outlineLevel="0" collapsed="false">
      <c r="C348" s="41" t="str">
        <f aca="false">IFERROR(VLOOKUP(B348,Pipeline!$A$2:$B$500,2,FALSE()),"")</f>
        <v/>
      </c>
    </row>
    <row r="349" customFormat="false" ht="15" hidden="false" customHeight="false" outlineLevel="0" collapsed="false">
      <c r="C349" s="41" t="str">
        <f aca="false">IFERROR(VLOOKUP(B349,Pipeline!$A$2:$B$500,2,FALSE()),"")</f>
        <v/>
      </c>
    </row>
    <row r="350" customFormat="false" ht="15" hidden="false" customHeight="false" outlineLevel="0" collapsed="false">
      <c r="C350" s="41" t="str">
        <f aca="false">IFERROR(VLOOKUP(B350,Pipeline!$A$2:$B$500,2,FALSE()),"")</f>
        <v/>
      </c>
    </row>
    <row r="351" customFormat="false" ht="15" hidden="false" customHeight="false" outlineLevel="0" collapsed="false">
      <c r="C351" s="41" t="str">
        <f aca="false">IFERROR(VLOOKUP(B351,Pipeline!$A$2:$B$500,2,FALSE()),"")</f>
        <v/>
      </c>
    </row>
    <row r="352" customFormat="false" ht="15" hidden="false" customHeight="false" outlineLevel="0" collapsed="false">
      <c r="C352" s="41" t="str">
        <f aca="false">IFERROR(VLOOKUP(B352,Pipeline!$A$2:$B$500,2,FALSE()),"")</f>
        <v/>
      </c>
    </row>
    <row r="353" customFormat="false" ht="15" hidden="false" customHeight="false" outlineLevel="0" collapsed="false">
      <c r="C353" s="41" t="str">
        <f aca="false">IFERROR(VLOOKUP(B353,Pipeline!$A$2:$B$500,2,FALSE()),"")</f>
        <v/>
      </c>
    </row>
    <row r="354" customFormat="false" ht="15" hidden="false" customHeight="false" outlineLevel="0" collapsed="false">
      <c r="C354" s="41" t="str">
        <f aca="false">IFERROR(VLOOKUP(B354,Pipeline!$A$2:$B$500,2,FALSE()),"")</f>
        <v/>
      </c>
    </row>
    <row r="355" customFormat="false" ht="15" hidden="false" customHeight="false" outlineLevel="0" collapsed="false">
      <c r="C355" s="41" t="str">
        <f aca="false">IFERROR(VLOOKUP(B355,Pipeline!$A$2:$B$500,2,FALSE()),"")</f>
        <v/>
      </c>
    </row>
    <row r="356" customFormat="false" ht="15" hidden="false" customHeight="false" outlineLevel="0" collapsed="false">
      <c r="C356" s="41" t="str">
        <f aca="false">IFERROR(VLOOKUP(B356,Pipeline!$A$2:$B$500,2,FALSE()),"")</f>
        <v/>
      </c>
    </row>
    <row r="357" customFormat="false" ht="15" hidden="false" customHeight="false" outlineLevel="0" collapsed="false">
      <c r="C357" s="41" t="str">
        <f aca="false">IFERROR(VLOOKUP(B357,Pipeline!$A$2:$B$500,2,FALSE()),"")</f>
        <v/>
      </c>
    </row>
    <row r="358" customFormat="false" ht="15" hidden="false" customHeight="false" outlineLevel="0" collapsed="false">
      <c r="C358" s="41" t="str">
        <f aca="false">IFERROR(VLOOKUP(B358,Pipeline!$A$2:$B$500,2,FALSE()),"")</f>
        <v/>
      </c>
    </row>
    <row r="359" customFormat="false" ht="15" hidden="false" customHeight="false" outlineLevel="0" collapsed="false">
      <c r="C359" s="41" t="str">
        <f aca="false">IFERROR(VLOOKUP(B359,Pipeline!$A$2:$B$500,2,FALSE()),"")</f>
        <v/>
      </c>
    </row>
    <row r="360" customFormat="false" ht="15" hidden="false" customHeight="false" outlineLevel="0" collapsed="false">
      <c r="C360" s="41" t="str">
        <f aca="false">IFERROR(VLOOKUP(B360,Pipeline!$A$2:$B$500,2,FALSE()),"")</f>
        <v/>
      </c>
    </row>
    <row r="361" customFormat="false" ht="15" hidden="false" customHeight="false" outlineLevel="0" collapsed="false">
      <c r="C361" s="41" t="str">
        <f aca="false">IFERROR(VLOOKUP(B361,Pipeline!$A$2:$B$500,2,FALSE()),"")</f>
        <v/>
      </c>
    </row>
    <row r="362" customFormat="false" ht="15" hidden="false" customHeight="false" outlineLevel="0" collapsed="false">
      <c r="C362" s="41" t="str">
        <f aca="false">IFERROR(VLOOKUP(B362,Pipeline!$A$2:$B$500,2,FALSE()),"")</f>
        <v/>
      </c>
    </row>
    <row r="363" customFormat="false" ht="15" hidden="false" customHeight="false" outlineLevel="0" collapsed="false">
      <c r="C363" s="41" t="str">
        <f aca="false">IFERROR(VLOOKUP(B363,Pipeline!$A$2:$B$500,2,FALSE()),"")</f>
        <v/>
      </c>
    </row>
    <row r="364" customFormat="false" ht="15" hidden="false" customHeight="false" outlineLevel="0" collapsed="false">
      <c r="C364" s="41" t="str">
        <f aca="false">IFERROR(VLOOKUP(B364,Pipeline!$A$2:$B$500,2,FALSE()),"")</f>
        <v/>
      </c>
    </row>
    <row r="365" customFormat="false" ht="15" hidden="false" customHeight="false" outlineLevel="0" collapsed="false">
      <c r="C365" s="41" t="str">
        <f aca="false">IFERROR(VLOOKUP(B365,Pipeline!$A$2:$B$500,2,FALSE()),"")</f>
        <v/>
      </c>
    </row>
    <row r="366" customFormat="false" ht="15" hidden="false" customHeight="false" outlineLevel="0" collapsed="false">
      <c r="C366" s="41" t="str">
        <f aca="false">IFERROR(VLOOKUP(B366,Pipeline!$A$2:$B$500,2,FALSE()),"")</f>
        <v/>
      </c>
    </row>
    <row r="367" customFormat="false" ht="15" hidden="false" customHeight="false" outlineLevel="0" collapsed="false">
      <c r="C367" s="41" t="str">
        <f aca="false">IFERROR(VLOOKUP(B367,Pipeline!$A$2:$B$500,2,FALSE()),"")</f>
        <v/>
      </c>
    </row>
    <row r="368" customFormat="false" ht="15" hidden="false" customHeight="false" outlineLevel="0" collapsed="false">
      <c r="C368" s="41" t="str">
        <f aca="false">IFERROR(VLOOKUP(B368,Pipeline!$A$2:$B$500,2,FALSE()),"")</f>
        <v/>
      </c>
    </row>
    <row r="369" customFormat="false" ht="15" hidden="false" customHeight="false" outlineLevel="0" collapsed="false">
      <c r="C369" s="41" t="str">
        <f aca="false">IFERROR(VLOOKUP(B369,Pipeline!$A$2:$B$500,2,FALSE()),"")</f>
        <v/>
      </c>
    </row>
    <row r="370" customFormat="false" ht="15" hidden="false" customHeight="false" outlineLevel="0" collapsed="false">
      <c r="C370" s="41" t="str">
        <f aca="false">IFERROR(VLOOKUP(B370,Pipeline!$A$2:$B$500,2,FALSE()),"")</f>
        <v/>
      </c>
    </row>
    <row r="371" customFormat="false" ht="15" hidden="false" customHeight="false" outlineLevel="0" collapsed="false">
      <c r="C371" s="41" t="str">
        <f aca="false">IFERROR(VLOOKUP(B371,Pipeline!$A$2:$B$500,2,FALSE()),"")</f>
        <v/>
      </c>
    </row>
    <row r="372" customFormat="false" ht="15" hidden="false" customHeight="false" outlineLevel="0" collapsed="false">
      <c r="C372" s="41" t="str">
        <f aca="false">IFERROR(VLOOKUP(B372,Pipeline!$A$2:$B$500,2,FALSE()),"")</f>
        <v/>
      </c>
    </row>
    <row r="373" customFormat="false" ht="15" hidden="false" customHeight="false" outlineLevel="0" collapsed="false">
      <c r="C373" s="41" t="str">
        <f aca="false">IFERROR(VLOOKUP(B373,Pipeline!$A$2:$B$500,2,FALSE()),"")</f>
        <v/>
      </c>
    </row>
    <row r="374" customFormat="false" ht="15" hidden="false" customHeight="false" outlineLevel="0" collapsed="false">
      <c r="C374" s="41" t="str">
        <f aca="false">IFERROR(VLOOKUP(B374,Pipeline!$A$2:$B$500,2,FALSE()),"")</f>
        <v/>
      </c>
    </row>
    <row r="375" customFormat="false" ht="15" hidden="false" customHeight="false" outlineLevel="0" collapsed="false">
      <c r="C375" s="41" t="str">
        <f aca="false">IFERROR(VLOOKUP(B375,Pipeline!$A$2:$B$500,2,FALSE()),"")</f>
        <v/>
      </c>
    </row>
    <row r="376" customFormat="false" ht="15" hidden="false" customHeight="false" outlineLevel="0" collapsed="false">
      <c r="C376" s="41" t="str">
        <f aca="false">IFERROR(VLOOKUP(B376,Pipeline!$A$2:$B$500,2,FALSE()),"")</f>
        <v/>
      </c>
    </row>
    <row r="377" customFormat="false" ht="15" hidden="false" customHeight="false" outlineLevel="0" collapsed="false">
      <c r="C377" s="41" t="str">
        <f aca="false">IFERROR(VLOOKUP(B377,Pipeline!$A$2:$B$500,2,FALSE()),"")</f>
        <v/>
      </c>
    </row>
    <row r="378" customFormat="false" ht="15" hidden="false" customHeight="false" outlineLevel="0" collapsed="false">
      <c r="C378" s="41" t="str">
        <f aca="false">IFERROR(VLOOKUP(B378,Pipeline!$A$2:$B$500,2,FALSE()),"")</f>
        <v/>
      </c>
    </row>
    <row r="379" customFormat="false" ht="15" hidden="false" customHeight="false" outlineLevel="0" collapsed="false">
      <c r="C379" s="41" t="str">
        <f aca="false">IFERROR(VLOOKUP(B379,Pipeline!$A$2:$B$500,2,FALSE()),"")</f>
        <v/>
      </c>
    </row>
    <row r="380" customFormat="false" ht="15" hidden="false" customHeight="false" outlineLevel="0" collapsed="false">
      <c r="C380" s="41" t="str">
        <f aca="false">IFERROR(VLOOKUP(B380,Pipeline!$A$2:$B$500,2,FALSE()),"")</f>
        <v/>
      </c>
    </row>
    <row r="381" customFormat="false" ht="15" hidden="false" customHeight="false" outlineLevel="0" collapsed="false">
      <c r="C381" s="41" t="str">
        <f aca="false">IFERROR(VLOOKUP(B381,Pipeline!$A$2:$B$500,2,FALSE()),"")</f>
        <v/>
      </c>
    </row>
    <row r="382" customFormat="false" ht="15" hidden="false" customHeight="false" outlineLevel="0" collapsed="false">
      <c r="C382" s="41" t="str">
        <f aca="false">IFERROR(VLOOKUP(B382,Pipeline!$A$2:$B$500,2,FALSE()),"")</f>
        <v/>
      </c>
    </row>
    <row r="383" customFormat="false" ht="15" hidden="false" customHeight="false" outlineLevel="0" collapsed="false">
      <c r="C383" s="41" t="str">
        <f aca="false">IFERROR(VLOOKUP(B383,Pipeline!$A$2:$B$500,2,FALSE()),"")</f>
        <v/>
      </c>
    </row>
    <row r="384" customFormat="false" ht="15" hidden="false" customHeight="false" outlineLevel="0" collapsed="false">
      <c r="C384" s="41" t="str">
        <f aca="false">IFERROR(VLOOKUP(B384,Pipeline!$A$2:$B$500,2,FALSE()),"")</f>
        <v/>
      </c>
    </row>
    <row r="385" customFormat="false" ht="15" hidden="false" customHeight="false" outlineLevel="0" collapsed="false">
      <c r="C385" s="41" t="str">
        <f aca="false">IFERROR(VLOOKUP(B385,Pipeline!$A$2:$B$500,2,FALSE()),"")</f>
        <v/>
      </c>
    </row>
    <row r="386" customFormat="false" ht="15" hidden="false" customHeight="false" outlineLevel="0" collapsed="false">
      <c r="C386" s="41" t="str">
        <f aca="false">IFERROR(VLOOKUP(B386,Pipeline!$A$2:$B$500,2,FALSE()),"")</f>
        <v/>
      </c>
    </row>
    <row r="387" customFormat="false" ht="15" hidden="false" customHeight="false" outlineLevel="0" collapsed="false">
      <c r="C387" s="41" t="str">
        <f aca="false">IFERROR(VLOOKUP(B387,Pipeline!$A$2:$B$500,2,FALSE()),"")</f>
        <v/>
      </c>
    </row>
    <row r="388" customFormat="false" ht="15" hidden="false" customHeight="false" outlineLevel="0" collapsed="false">
      <c r="C388" s="41" t="str">
        <f aca="false">IFERROR(VLOOKUP(B388,Pipeline!$A$2:$B$500,2,FALSE()),"")</f>
        <v/>
      </c>
    </row>
    <row r="389" customFormat="false" ht="15" hidden="false" customHeight="false" outlineLevel="0" collapsed="false">
      <c r="C389" s="41" t="str">
        <f aca="false">IFERROR(VLOOKUP(B389,Pipeline!$A$2:$B$500,2,FALSE()),"")</f>
        <v/>
      </c>
    </row>
    <row r="390" customFormat="false" ht="15" hidden="false" customHeight="false" outlineLevel="0" collapsed="false">
      <c r="C390" s="41" t="str">
        <f aca="false">IFERROR(VLOOKUP(B390,Pipeline!$A$2:$B$500,2,FALSE()),"")</f>
        <v/>
      </c>
    </row>
    <row r="391" customFormat="false" ht="15" hidden="false" customHeight="false" outlineLevel="0" collapsed="false">
      <c r="C391" s="41" t="str">
        <f aca="false">IFERROR(VLOOKUP(B391,Pipeline!$A$2:$B$500,2,FALSE()),"")</f>
        <v/>
      </c>
    </row>
    <row r="392" customFormat="false" ht="15" hidden="false" customHeight="false" outlineLevel="0" collapsed="false">
      <c r="C392" s="41" t="str">
        <f aca="false">IFERROR(VLOOKUP(B392,Pipeline!$A$2:$B$500,2,FALSE()),"")</f>
        <v/>
      </c>
    </row>
    <row r="393" customFormat="false" ht="15" hidden="false" customHeight="false" outlineLevel="0" collapsed="false">
      <c r="C393" s="41" t="str">
        <f aca="false">IFERROR(VLOOKUP(B393,Pipeline!$A$2:$B$500,2,FALSE()),"")</f>
        <v/>
      </c>
    </row>
    <row r="394" customFormat="false" ht="15" hidden="false" customHeight="false" outlineLevel="0" collapsed="false">
      <c r="C394" s="41" t="str">
        <f aca="false">IFERROR(VLOOKUP(B394,Pipeline!$A$2:$B$500,2,FALSE()),"")</f>
        <v/>
      </c>
    </row>
    <row r="395" customFormat="false" ht="15" hidden="false" customHeight="false" outlineLevel="0" collapsed="false">
      <c r="C395" s="41" t="str">
        <f aca="false">IFERROR(VLOOKUP(B395,Pipeline!$A$2:$B$500,2,FALSE()),"")</f>
        <v/>
      </c>
    </row>
    <row r="396" customFormat="false" ht="15" hidden="false" customHeight="false" outlineLevel="0" collapsed="false">
      <c r="C396" s="41" t="str">
        <f aca="false">IFERROR(VLOOKUP(B396,Pipeline!$A$2:$B$500,2,FALSE()),"")</f>
        <v/>
      </c>
    </row>
    <row r="397" customFormat="false" ht="15" hidden="false" customHeight="false" outlineLevel="0" collapsed="false">
      <c r="C397" s="41" t="str">
        <f aca="false">IFERROR(VLOOKUP(B397,Pipeline!$A$2:$B$500,2,FALSE()),"")</f>
        <v/>
      </c>
    </row>
    <row r="398" customFormat="false" ht="15" hidden="false" customHeight="false" outlineLevel="0" collapsed="false">
      <c r="C398" s="41" t="str">
        <f aca="false">IFERROR(VLOOKUP(B398,Pipeline!$A$2:$B$500,2,FALSE()),"")</f>
        <v/>
      </c>
    </row>
    <row r="399" customFormat="false" ht="15" hidden="false" customHeight="false" outlineLevel="0" collapsed="false">
      <c r="C399" s="41" t="str">
        <f aca="false">IFERROR(VLOOKUP(B399,Pipeline!$A$2:$B$500,2,FALSE()),"")</f>
        <v/>
      </c>
    </row>
    <row r="400" customFormat="false" ht="15" hidden="false" customHeight="false" outlineLevel="0" collapsed="false">
      <c r="C400" s="41" t="str">
        <f aca="false">IFERROR(VLOOKUP(B400,Pipeline!$A$2:$B$500,2,FALSE()),"")</f>
        <v/>
      </c>
    </row>
    <row r="401" customFormat="false" ht="15" hidden="false" customHeight="false" outlineLevel="0" collapsed="false">
      <c r="C401" s="41" t="str">
        <f aca="false">IFERROR(VLOOKUP(B401,Pipeline!$A$2:$B$500,2,FALSE()),"")</f>
        <v/>
      </c>
    </row>
    <row r="402" customFormat="false" ht="15" hidden="false" customHeight="false" outlineLevel="0" collapsed="false">
      <c r="C402" s="41" t="str">
        <f aca="false">IFERROR(VLOOKUP(B402,Pipeline!$A$2:$B$500,2,FALSE()),"")</f>
        <v/>
      </c>
    </row>
    <row r="403" customFormat="false" ht="15" hidden="false" customHeight="false" outlineLevel="0" collapsed="false">
      <c r="C403" s="41" t="str">
        <f aca="false">IFERROR(VLOOKUP(B403,Pipeline!$A$2:$B$500,2,FALSE()),"")</f>
        <v/>
      </c>
    </row>
    <row r="404" customFormat="false" ht="15" hidden="false" customHeight="false" outlineLevel="0" collapsed="false">
      <c r="C404" s="41" t="str">
        <f aca="false">IFERROR(VLOOKUP(B404,Pipeline!$A$2:$B$500,2,FALSE()),"")</f>
        <v/>
      </c>
    </row>
    <row r="405" customFormat="false" ht="15" hidden="false" customHeight="false" outlineLevel="0" collapsed="false">
      <c r="C405" s="41" t="str">
        <f aca="false">IFERROR(VLOOKUP(B405,Pipeline!$A$2:$B$500,2,FALSE()),"")</f>
        <v/>
      </c>
    </row>
    <row r="406" customFormat="false" ht="15" hidden="false" customHeight="false" outlineLevel="0" collapsed="false">
      <c r="C406" s="41" t="str">
        <f aca="false">IFERROR(VLOOKUP(B406,Pipeline!$A$2:$B$500,2,FALSE()),"")</f>
        <v/>
      </c>
    </row>
    <row r="407" customFormat="false" ht="15" hidden="false" customHeight="false" outlineLevel="0" collapsed="false">
      <c r="C407" s="41" t="str">
        <f aca="false">IFERROR(VLOOKUP(B407,Pipeline!$A$2:$B$500,2,FALSE()),"")</f>
        <v/>
      </c>
    </row>
    <row r="408" customFormat="false" ht="15" hidden="false" customHeight="false" outlineLevel="0" collapsed="false">
      <c r="C408" s="41" t="str">
        <f aca="false">IFERROR(VLOOKUP(B408,Pipeline!$A$2:$B$500,2,FALSE()),"")</f>
        <v/>
      </c>
    </row>
    <row r="409" customFormat="false" ht="15" hidden="false" customHeight="false" outlineLevel="0" collapsed="false">
      <c r="C409" s="41" t="str">
        <f aca="false">IFERROR(VLOOKUP(B409,Pipeline!$A$2:$B$500,2,FALSE()),"")</f>
        <v/>
      </c>
    </row>
    <row r="410" customFormat="false" ht="15" hidden="false" customHeight="false" outlineLevel="0" collapsed="false">
      <c r="C410" s="41" t="str">
        <f aca="false">IFERROR(VLOOKUP(B410,Pipeline!$A$2:$B$500,2,FALSE()),"")</f>
        <v/>
      </c>
    </row>
    <row r="411" customFormat="false" ht="15" hidden="false" customHeight="false" outlineLevel="0" collapsed="false">
      <c r="C411" s="41" t="str">
        <f aca="false">IFERROR(VLOOKUP(B411,Pipeline!$A$2:$B$500,2,FALSE()),"")</f>
        <v/>
      </c>
    </row>
    <row r="412" customFormat="false" ht="15" hidden="false" customHeight="false" outlineLevel="0" collapsed="false">
      <c r="C412" s="41" t="str">
        <f aca="false">IFERROR(VLOOKUP(B412,Pipeline!$A$2:$B$500,2,FALSE()),"")</f>
        <v/>
      </c>
    </row>
    <row r="413" customFormat="false" ht="15" hidden="false" customHeight="false" outlineLevel="0" collapsed="false">
      <c r="C413" s="41" t="str">
        <f aca="false">IFERROR(VLOOKUP(B413,Pipeline!$A$2:$B$500,2,FALSE()),"")</f>
        <v/>
      </c>
    </row>
    <row r="414" customFormat="false" ht="15" hidden="false" customHeight="false" outlineLevel="0" collapsed="false">
      <c r="C414" s="41" t="str">
        <f aca="false">IFERROR(VLOOKUP(B414,Pipeline!$A$2:$B$500,2,FALSE()),"")</f>
        <v/>
      </c>
    </row>
    <row r="415" customFormat="false" ht="15" hidden="false" customHeight="false" outlineLevel="0" collapsed="false">
      <c r="C415" s="41" t="str">
        <f aca="false">IFERROR(VLOOKUP(B415,Pipeline!$A$2:$B$500,2,FALSE()),"")</f>
        <v/>
      </c>
    </row>
    <row r="416" customFormat="false" ht="15" hidden="false" customHeight="false" outlineLevel="0" collapsed="false">
      <c r="C416" s="41" t="str">
        <f aca="false">IFERROR(VLOOKUP(B416,Pipeline!$A$2:$B$500,2,FALSE()),"")</f>
        <v/>
      </c>
    </row>
    <row r="417" customFormat="false" ht="15" hidden="false" customHeight="false" outlineLevel="0" collapsed="false">
      <c r="C417" s="41" t="str">
        <f aca="false">IFERROR(VLOOKUP(B417,Pipeline!$A$2:$B$500,2,FALSE()),"")</f>
        <v/>
      </c>
    </row>
    <row r="418" customFormat="false" ht="15" hidden="false" customHeight="false" outlineLevel="0" collapsed="false">
      <c r="C418" s="41" t="str">
        <f aca="false">IFERROR(VLOOKUP(B418,Pipeline!$A$2:$B$500,2,FALSE()),"")</f>
        <v/>
      </c>
    </row>
    <row r="419" customFormat="false" ht="15" hidden="false" customHeight="false" outlineLevel="0" collapsed="false">
      <c r="C419" s="41" t="str">
        <f aca="false">IFERROR(VLOOKUP(B419,Pipeline!$A$2:$B$500,2,FALSE()),"")</f>
        <v/>
      </c>
    </row>
    <row r="420" customFormat="false" ht="15" hidden="false" customHeight="false" outlineLevel="0" collapsed="false">
      <c r="C420" s="41" t="str">
        <f aca="false">IFERROR(VLOOKUP(B420,Pipeline!$A$2:$B$500,2,FALSE()),"")</f>
        <v/>
      </c>
    </row>
    <row r="421" customFormat="false" ht="15" hidden="false" customHeight="false" outlineLevel="0" collapsed="false">
      <c r="C421" s="41" t="str">
        <f aca="false">IFERROR(VLOOKUP(B421,Pipeline!$A$2:$B$500,2,FALSE()),"")</f>
        <v/>
      </c>
    </row>
    <row r="422" customFormat="false" ht="15" hidden="false" customHeight="false" outlineLevel="0" collapsed="false">
      <c r="C422" s="41" t="str">
        <f aca="false">IFERROR(VLOOKUP(B422,Pipeline!$A$2:$B$500,2,FALSE()),"")</f>
        <v/>
      </c>
    </row>
    <row r="423" customFormat="false" ht="15" hidden="false" customHeight="false" outlineLevel="0" collapsed="false">
      <c r="C423" s="41" t="str">
        <f aca="false">IFERROR(VLOOKUP(B423,Pipeline!$A$2:$B$500,2,FALSE()),"")</f>
        <v/>
      </c>
    </row>
    <row r="424" customFormat="false" ht="15" hidden="false" customHeight="false" outlineLevel="0" collapsed="false">
      <c r="C424" s="41" t="str">
        <f aca="false">IFERROR(VLOOKUP(B424,Pipeline!$A$2:$B$500,2,FALSE()),"")</f>
        <v/>
      </c>
    </row>
    <row r="425" customFormat="false" ht="15" hidden="false" customHeight="false" outlineLevel="0" collapsed="false">
      <c r="C425" s="41" t="str">
        <f aca="false">IFERROR(VLOOKUP(B425,Pipeline!$A$2:$B$500,2,FALSE()),"")</f>
        <v/>
      </c>
    </row>
    <row r="426" customFormat="false" ht="15" hidden="false" customHeight="false" outlineLevel="0" collapsed="false">
      <c r="C426" s="41" t="str">
        <f aca="false">IFERROR(VLOOKUP(B426,Pipeline!$A$2:$B$500,2,FALSE()),"")</f>
        <v/>
      </c>
    </row>
    <row r="427" customFormat="false" ht="15" hidden="false" customHeight="false" outlineLevel="0" collapsed="false">
      <c r="C427" s="41" t="str">
        <f aca="false">IFERROR(VLOOKUP(B427,Pipeline!$A$2:$B$500,2,FALSE()),"")</f>
        <v/>
      </c>
    </row>
    <row r="428" customFormat="false" ht="15" hidden="false" customHeight="false" outlineLevel="0" collapsed="false">
      <c r="C428" s="41" t="str">
        <f aca="false">IFERROR(VLOOKUP(B428,Pipeline!$A$2:$B$500,2,FALSE()),"")</f>
        <v/>
      </c>
    </row>
    <row r="429" customFormat="false" ht="15" hidden="false" customHeight="false" outlineLevel="0" collapsed="false">
      <c r="C429" s="41" t="str">
        <f aca="false">IFERROR(VLOOKUP(B429,Pipeline!$A$2:$B$500,2,FALSE()),"")</f>
        <v/>
      </c>
    </row>
    <row r="430" customFormat="false" ht="15" hidden="false" customHeight="false" outlineLevel="0" collapsed="false">
      <c r="C430" s="41" t="str">
        <f aca="false">IFERROR(VLOOKUP(B430,Pipeline!$A$2:$B$500,2,FALSE()),"")</f>
        <v/>
      </c>
    </row>
    <row r="431" customFormat="false" ht="15" hidden="false" customHeight="false" outlineLevel="0" collapsed="false">
      <c r="C431" s="41" t="str">
        <f aca="false">IFERROR(VLOOKUP(B431,Pipeline!$A$2:$B$500,2,FALSE()),"")</f>
        <v/>
      </c>
    </row>
    <row r="432" customFormat="false" ht="15" hidden="false" customHeight="false" outlineLevel="0" collapsed="false">
      <c r="C432" s="41" t="str">
        <f aca="false">IFERROR(VLOOKUP(B432,Pipeline!$A$2:$B$500,2,FALSE()),"")</f>
        <v/>
      </c>
    </row>
    <row r="433" customFormat="false" ht="15" hidden="false" customHeight="false" outlineLevel="0" collapsed="false">
      <c r="C433" s="41" t="str">
        <f aca="false">IFERROR(VLOOKUP(B433,Pipeline!$A$2:$B$500,2,FALSE()),"")</f>
        <v/>
      </c>
    </row>
    <row r="434" customFormat="false" ht="15" hidden="false" customHeight="false" outlineLevel="0" collapsed="false">
      <c r="C434" s="41" t="str">
        <f aca="false">IFERROR(VLOOKUP(B434,Pipeline!$A$2:$B$500,2,FALSE()),"")</f>
        <v/>
      </c>
    </row>
    <row r="435" customFormat="false" ht="15" hidden="false" customHeight="false" outlineLevel="0" collapsed="false">
      <c r="C435" s="41" t="str">
        <f aca="false">IFERROR(VLOOKUP(B435,Pipeline!$A$2:$B$500,2,FALSE()),"")</f>
        <v/>
      </c>
    </row>
    <row r="436" customFormat="false" ht="15" hidden="false" customHeight="false" outlineLevel="0" collapsed="false">
      <c r="C436" s="41" t="str">
        <f aca="false">IFERROR(VLOOKUP(B436,Pipeline!$A$2:$B$500,2,FALSE()),"")</f>
        <v/>
      </c>
    </row>
    <row r="437" customFormat="false" ht="15" hidden="false" customHeight="false" outlineLevel="0" collapsed="false">
      <c r="C437" s="41" t="str">
        <f aca="false">IFERROR(VLOOKUP(B437,Pipeline!$A$2:$B$500,2,FALSE()),"")</f>
        <v/>
      </c>
    </row>
    <row r="438" customFormat="false" ht="15" hidden="false" customHeight="false" outlineLevel="0" collapsed="false">
      <c r="C438" s="41" t="str">
        <f aca="false">IFERROR(VLOOKUP(B438,Pipeline!$A$2:$B$500,2,FALSE()),"")</f>
        <v/>
      </c>
    </row>
    <row r="439" customFormat="false" ht="15" hidden="false" customHeight="false" outlineLevel="0" collapsed="false">
      <c r="C439" s="41" t="str">
        <f aca="false">IFERROR(VLOOKUP(B439,Pipeline!$A$2:$B$500,2,FALSE()),"")</f>
        <v/>
      </c>
    </row>
    <row r="440" customFormat="false" ht="15" hidden="false" customHeight="false" outlineLevel="0" collapsed="false">
      <c r="C440" s="41" t="str">
        <f aca="false">IFERROR(VLOOKUP(B440,Pipeline!$A$2:$B$500,2,FALSE()),"")</f>
        <v/>
      </c>
    </row>
    <row r="441" customFormat="false" ht="15" hidden="false" customHeight="false" outlineLevel="0" collapsed="false">
      <c r="C441" s="41" t="str">
        <f aca="false">IFERROR(VLOOKUP(B441,Pipeline!$A$2:$B$500,2,FALSE()),"")</f>
        <v/>
      </c>
    </row>
    <row r="442" customFormat="false" ht="15" hidden="false" customHeight="false" outlineLevel="0" collapsed="false">
      <c r="C442" s="41" t="str">
        <f aca="false">IFERROR(VLOOKUP(B442,Pipeline!$A$2:$B$500,2,FALSE()),"")</f>
        <v/>
      </c>
    </row>
    <row r="443" customFormat="false" ht="15" hidden="false" customHeight="false" outlineLevel="0" collapsed="false">
      <c r="C443" s="41" t="str">
        <f aca="false">IFERROR(VLOOKUP(B443,Pipeline!$A$2:$B$500,2,FALSE()),"")</f>
        <v/>
      </c>
    </row>
    <row r="444" customFormat="false" ht="15" hidden="false" customHeight="false" outlineLevel="0" collapsed="false">
      <c r="C444" s="41" t="str">
        <f aca="false">IFERROR(VLOOKUP(B444,Pipeline!$A$2:$B$500,2,FALSE()),"")</f>
        <v/>
      </c>
    </row>
    <row r="445" customFormat="false" ht="15" hidden="false" customHeight="false" outlineLevel="0" collapsed="false">
      <c r="C445" s="41" t="str">
        <f aca="false">IFERROR(VLOOKUP(B445,Pipeline!$A$2:$B$500,2,FALSE()),"")</f>
        <v/>
      </c>
    </row>
    <row r="446" customFormat="false" ht="15" hidden="false" customHeight="false" outlineLevel="0" collapsed="false">
      <c r="C446" s="41" t="str">
        <f aca="false">IFERROR(VLOOKUP(B446,Pipeline!$A$2:$B$500,2,FALSE()),"")</f>
        <v/>
      </c>
    </row>
    <row r="447" customFormat="false" ht="15" hidden="false" customHeight="false" outlineLevel="0" collapsed="false">
      <c r="C447" s="41" t="str">
        <f aca="false">IFERROR(VLOOKUP(B447,Pipeline!$A$2:$B$500,2,FALSE()),"")</f>
        <v/>
      </c>
    </row>
    <row r="448" customFormat="false" ht="15" hidden="false" customHeight="false" outlineLevel="0" collapsed="false">
      <c r="C448" s="41" t="str">
        <f aca="false">IFERROR(VLOOKUP(B448,Pipeline!$A$2:$B$500,2,FALSE()),"")</f>
        <v/>
      </c>
    </row>
    <row r="449" customFormat="false" ht="15" hidden="false" customHeight="false" outlineLevel="0" collapsed="false">
      <c r="C449" s="41" t="str">
        <f aca="false">IFERROR(VLOOKUP(B449,Pipeline!$A$2:$B$500,2,FALSE()),"")</f>
        <v/>
      </c>
    </row>
    <row r="450" customFormat="false" ht="15" hidden="false" customHeight="false" outlineLevel="0" collapsed="false">
      <c r="C450" s="41" t="str">
        <f aca="false">IFERROR(VLOOKUP(B450,Pipeline!$A$2:$B$500,2,FALSE()),"")</f>
        <v/>
      </c>
    </row>
    <row r="451" customFormat="false" ht="15" hidden="false" customHeight="false" outlineLevel="0" collapsed="false">
      <c r="C451" s="41" t="str">
        <f aca="false">IFERROR(VLOOKUP(B451,Pipeline!$A$2:$B$500,2,FALSE()),"")</f>
        <v/>
      </c>
    </row>
    <row r="452" customFormat="false" ht="15" hidden="false" customHeight="false" outlineLevel="0" collapsed="false">
      <c r="C452" s="41" t="str">
        <f aca="false">IFERROR(VLOOKUP(B452,Pipeline!$A$2:$B$500,2,FALSE()),"")</f>
        <v/>
      </c>
    </row>
    <row r="453" customFormat="false" ht="15" hidden="false" customHeight="false" outlineLevel="0" collapsed="false">
      <c r="C453" s="41" t="str">
        <f aca="false">IFERROR(VLOOKUP(B453,Pipeline!$A$2:$B$500,2,FALSE()),"")</f>
        <v/>
      </c>
    </row>
    <row r="454" customFormat="false" ht="15" hidden="false" customHeight="false" outlineLevel="0" collapsed="false">
      <c r="C454" s="41" t="str">
        <f aca="false">IFERROR(VLOOKUP(B454,Pipeline!$A$2:$B$500,2,FALSE()),"")</f>
        <v/>
      </c>
    </row>
    <row r="455" customFormat="false" ht="15" hidden="false" customHeight="false" outlineLevel="0" collapsed="false">
      <c r="C455" s="41" t="str">
        <f aca="false">IFERROR(VLOOKUP(B455,Pipeline!$A$2:$B$500,2,FALSE()),"")</f>
        <v/>
      </c>
    </row>
    <row r="456" customFormat="false" ht="15" hidden="false" customHeight="false" outlineLevel="0" collapsed="false">
      <c r="C456" s="41" t="str">
        <f aca="false">IFERROR(VLOOKUP(B456,Pipeline!$A$2:$B$500,2,FALSE()),"")</f>
        <v/>
      </c>
    </row>
    <row r="457" customFormat="false" ht="15" hidden="false" customHeight="false" outlineLevel="0" collapsed="false">
      <c r="C457" s="41" t="str">
        <f aca="false">IFERROR(VLOOKUP(B457,Pipeline!$A$2:$B$500,2,FALSE()),"")</f>
        <v/>
      </c>
    </row>
    <row r="458" customFormat="false" ht="15" hidden="false" customHeight="false" outlineLevel="0" collapsed="false">
      <c r="C458" s="41" t="str">
        <f aca="false">IFERROR(VLOOKUP(B458,Pipeline!$A$2:$B$500,2,FALSE()),"")</f>
        <v/>
      </c>
    </row>
    <row r="459" customFormat="false" ht="15" hidden="false" customHeight="false" outlineLevel="0" collapsed="false">
      <c r="C459" s="41" t="str">
        <f aca="false">IFERROR(VLOOKUP(B459,Pipeline!$A$2:$B$500,2,FALSE()),"")</f>
        <v/>
      </c>
    </row>
    <row r="460" customFormat="false" ht="15" hidden="false" customHeight="false" outlineLevel="0" collapsed="false">
      <c r="C460" s="41" t="str">
        <f aca="false">IFERROR(VLOOKUP(B460,Pipeline!$A$2:$B$500,2,FALSE()),"")</f>
        <v/>
      </c>
    </row>
    <row r="461" customFormat="false" ht="15" hidden="false" customHeight="false" outlineLevel="0" collapsed="false">
      <c r="C461" s="41" t="str">
        <f aca="false">IFERROR(VLOOKUP(B461,Pipeline!$A$2:$B$500,2,FALSE()),"")</f>
        <v/>
      </c>
    </row>
    <row r="462" customFormat="false" ht="15" hidden="false" customHeight="false" outlineLevel="0" collapsed="false">
      <c r="C462" s="41" t="str">
        <f aca="false">IFERROR(VLOOKUP(B462,Pipeline!$A$2:$B$500,2,FALSE()),"")</f>
        <v/>
      </c>
    </row>
    <row r="463" customFormat="false" ht="15" hidden="false" customHeight="false" outlineLevel="0" collapsed="false">
      <c r="C463" s="41" t="str">
        <f aca="false">IFERROR(VLOOKUP(B463,Pipeline!$A$2:$B$500,2,FALSE()),"")</f>
        <v/>
      </c>
    </row>
    <row r="464" customFormat="false" ht="15" hidden="false" customHeight="false" outlineLevel="0" collapsed="false">
      <c r="C464" s="41" t="str">
        <f aca="false">IFERROR(VLOOKUP(B464,Pipeline!$A$2:$B$500,2,FALSE()),"")</f>
        <v/>
      </c>
    </row>
    <row r="465" customFormat="false" ht="15" hidden="false" customHeight="false" outlineLevel="0" collapsed="false">
      <c r="C465" s="41" t="str">
        <f aca="false">IFERROR(VLOOKUP(B465,Pipeline!$A$2:$B$500,2,FALSE()),"")</f>
        <v/>
      </c>
    </row>
    <row r="466" customFormat="false" ht="15" hidden="false" customHeight="false" outlineLevel="0" collapsed="false">
      <c r="C466" s="41" t="str">
        <f aca="false">IFERROR(VLOOKUP(B466,Pipeline!$A$2:$B$500,2,FALSE()),"")</f>
        <v/>
      </c>
    </row>
    <row r="467" customFormat="false" ht="15" hidden="false" customHeight="false" outlineLevel="0" collapsed="false">
      <c r="C467" s="41" t="str">
        <f aca="false">IFERROR(VLOOKUP(B467,Pipeline!$A$2:$B$500,2,FALSE()),"")</f>
        <v/>
      </c>
    </row>
    <row r="468" customFormat="false" ht="15" hidden="false" customHeight="false" outlineLevel="0" collapsed="false">
      <c r="C468" s="41" t="str">
        <f aca="false">IFERROR(VLOOKUP(B468,Pipeline!$A$2:$B$500,2,FALSE()),"")</f>
        <v/>
      </c>
    </row>
    <row r="469" customFormat="false" ht="15" hidden="false" customHeight="false" outlineLevel="0" collapsed="false">
      <c r="C469" s="41" t="str">
        <f aca="false">IFERROR(VLOOKUP(B469,Pipeline!$A$2:$B$500,2,FALSE()),"")</f>
        <v/>
      </c>
    </row>
    <row r="470" customFormat="false" ht="15" hidden="false" customHeight="false" outlineLevel="0" collapsed="false">
      <c r="C470" s="41" t="str">
        <f aca="false">IFERROR(VLOOKUP(B470,Pipeline!$A$2:$B$500,2,FALSE()),"")</f>
        <v/>
      </c>
    </row>
    <row r="471" customFormat="false" ht="15" hidden="false" customHeight="false" outlineLevel="0" collapsed="false">
      <c r="C471" s="41" t="str">
        <f aca="false">IFERROR(VLOOKUP(B471,Pipeline!$A$2:$B$500,2,FALSE()),"")</f>
        <v/>
      </c>
    </row>
    <row r="472" customFormat="false" ht="15" hidden="false" customHeight="false" outlineLevel="0" collapsed="false">
      <c r="C472" s="41" t="str">
        <f aca="false">IFERROR(VLOOKUP(B472,Pipeline!$A$2:$B$500,2,FALSE()),"")</f>
        <v/>
      </c>
    </row>
    <row r="473" customFormat="false" ht="15" hidden="false" customHeight="false" outlineLevel="0" collapsed="false">
      <c r="C473" s="41" t="str">
        <f aca="false">IFERROR(VLOOKUP(B473,Pipeline!$A$2:$B$500,2,FALSE()),"")</f>
        <v/>
      </c>
    </row>
    <row r="474" customFormat="false" ht="15" hidden="false" customHeight="false" outlineLevel="0" collapsed="false">
      <c r="C474" s="41" t="str">
        <f aca="false">IFERROR(VLOOKUP(B474,Pipeline!$A$2:$B$500,2,FALSE()),"")</f>
        <v/>
      </c>
    </row>
    <row r="475" customFormat="false" ht="15" hidden="false" customHeight="false" outlineLevel="0" collapsed="false">
      <c r="C475" s="41" t="str">
        <f aca="false">IFERROR(VLOOKUP(B475,Pipeline!$A$2:$B$500,2,FALSE()),"")</f>
        <v/>
      </c>
    </row>
    <row r="476" customFormat="false" ht="15" hidden="false" customHeight="false" outlineLevel="0" collapsed="false">
      <c r="C476" s="41" t="str">
        <f aca="false">IFERROR(VLOOKUP(B476,Pipeline!$A$2:$B$500,2,FALSE()),"")</f>
        <v/>
      </c>
    </row>
    <row r="477" customFormat="false" ht="15" hidden="false" customHeight="false" outlineLevel="0" collapsed="false">
      <c r="C477" s="41" t="str">
        <f aca="false">IFERROR(VLOOKUP(B477,Pipeline!$A$2:$B$500,2,FALSE()),"")</f>
        <v/>
      </c>
    </row>
    <row r="478" customFormat="false" ht="15" hidden="false" customHeight="false" outlineLevel="0" collapsed="false">
      <c r="C478" s="41" t="str">
        <f aca="false">IFERROR(VLOOKUP(B478,Pipeline!$A$2:$B$500,2,FALSE()),"")</f>
        <v/>
      </c>
    </row>
    <row r="479" customFormat="false" ht="15" hidden="false" customHeight="false" outlineLevel="0" collapsed="false">
      <c r="C479" s="41" t="str">
        <f aca="false">IFERROR(VLOOKUP(B479,Pipeline!$A$2:$B$500,2,FALSE()),"")</f>
        <v/>
      </c>
    </row>
    <row r="480" customFormat="false" ht="15" hidden="false" customHeight="false" outlineLevel="0" collapsed="false">
      <c r="C480" s="41" t="str">
        <f aca="false">IFERROR(VLOOKUP(B480,Pipeline!$A$2:$B$500,2,FALSE()),"")</f>
        <v/>
      </c>
    </row>
    <row r="481" customFormat="false" ht="15" hidden="false" customHeight="false" outlineLevel="0" collapsed="false">
      <c r="C481" s="41" t="str">
        <f aca="false">IFERROR(VLOOKUP(B481,Pipeline!$A$2:$B$500,2,FALSE()),"")</f>
        <v/>
      </c>
    </row>
    <row r="482" customFormat="false" ht="15" hidden="false" customHeight="false" outlineLevel="0" collapsed="false">
      <c r="C482" s="41" t="str">
        <f aca="false">IFERROR(VLOOKUP(B482,Pipeline!$A$2:$B$500,2,FALSE()),"")</f>
        <v/>
      </c>
    </row>
    <row r="483" customFormat="false" ht="15" hidden="false" customHeight="false" outlineLevel="0" collapsed="false">
      <c r="C483" s="41" t="str">
        <f aca="false">IFERROR(VLOOKUP(B483,Pipeline!$A$2:$B$500,2,FALSE()),"")</f>
        <v/>
      </c>
    </row>
    <row r="484" customFormat="false" ht="15" hidden="false" customHeight="false" outlineLevel="0" collapsed="false">
      <c r="C484" s="41" t="str">
        <f aca="false">IFERROR(VLOOKUP(B484,Pipeline!$A$2:$B$500,2,FALSE()),"")</f>
        <v/>
      </c>
    </row>
    <row r="485" customFormat="false" ht="15" hidden="false" customHeight="false" outlineLevel="0" collapsed="false">
      <c r="C485" s="41" t="str">
        <f aca="false">IFERROR(VLOOKUP(B485,Pipeline!$A$2:$B$500,2,FALSE()),"")</f>
        <v/>
      </c>
    </row>
    <row r="486" customFormat="false" ht="15" hidden="false" customHeight="false" outlineLevel="0" collapsed="false">
      <c r="C486" s="41" t="str">
        <f aca="false">IFERROR(VLOOKUP(B486,Pipeline!$A$2:$B$500,2,FALSE()),"")</f>
        <v/>
      </c>
    </row>
    <row r="487" customFormat="false" ht="15" hidden="false" customHeight="false" outlineLevel="0" collapsed="false">
      <c r="C487" s="41" t="str">
        <f aca="false">IFERROR(VLOOKUP(B487,Pipeline!$A$2:$B$500,2,FALSE()),"")</f>
        <v/>
      </c>
    </row>
    <row r="488" customFormat="false" ht="15" hidden="false" customHeight="false" outlineLevel="0" collapsed="false">
      <c r="C488" s="41" t="str">
        <f aca="false">IFERROR(VLOOKUP(B488,Pipeline!$A$2:$B$500,2,FALSE()),"")</f>
        <v/>
      </c>
    </row>
    <row r="489" customFormat="false" ht="15" hidden="false" customHeight="false" outlineLevel="0" collapsed="false">
      <c r="C489" s="41" t="str">
        <f aca="false">IFERROR(VLOOKUP(B489,Pipeline!$A$2:$B$500,2,FALSE()),"")</f>
        <v/>
      </c>
    </row>
    <row r="490" customFormat="false" ht="15" hidden="false" customHeight="false" outlineLevel="0" collapsed="false">
      <c r="C490" s="41" t="str">
        <f aca="false">IFERROR(VLOOKUP(B490,Pipeline!$A$2:$B$500,2,FALSE()),"")</f>
        <v/>
      </c>
    </row>
    <row r="491" customFormat="false" ht="15" hidden="false" customHeight="false" outlineLevel="0" collapsed="false">
      <c r="C491" s="41" t="str">
        <f aca="false">IFERROR(VLOOKUP(B491,Pipeline!$A$2:$B$500,2,FALSE()),"")</f>
        <v/>
      </c>
    </row>
    <row r="492" customFormat="false" ht="15" hidden="false" customHeight="false" outlineLevel="0" collapsed="false">
      <c r="C492" s="41" t="str">
        <f aca="false">IFERROR(VLOOKUP(B492,Pipeline!$A$2:$B$500,2,FALSE()),"")</f>
        <v/>
      </c>
    </row>
    <row r="493" customFormat="false" ht="15" hidden="false" customHeight="false" outlineLevel="0" collapsed="false">
      <c r="C493" s="41" t="str">
        <f aca="false">IFERROR(VLOOKUP(B493,Pipeline!$A$2:$B$500,2,FALSE()),"")</f>
        <v/>
      </c>
    </row>
    <row r="494" customFormat="false" ht="15" hidden="false" customHeight="false" outlineLevel="0" collapsed="false">
      <c r="C494" s="41" t="str">
        <f aca="false">IFERROR(VLOOKUP(B494,Pipeline!$A$2:$B$500,2,FALSE()),"")</f>
        <v/>
      </c>
    </row>
    <row r="495" customFormat="false" ht="15" hidden="false" customHeight="false" outlineLevel="0" collapsed="false">
      <c r="C495" s="41" t="str">
        <f aca="false">IFERROR(VLOOKUP(B495,Pipeline!$A$2:$B$500,2,FALSE()),"")</f>
        <v/>
      </c>
    </row>
    <row r="496" customFormat="false" ht="15" hidden="false" customHeight="false" outlineLevel="0" collapsed="false">
      <c r="C496" s="41" t="str">
        <f aca="false">IFERROR(VLOOKUP(B496,Pipeline!$A$2:$B$500,2,FALSE()),"")</f>
        <v/>
      </c>
    </row>
    <row r="497" customFormat="false" ht="15" hidden="false" customHeight="false" outlineLevel="0" collapsed="false">
      <c r="C497" s="41" t="str">
        <f aca="false">IFERROR(VLOOKUP(B497,Pipeline!$A$2:$B$500,2,FALSE()),"")</f>
        <v/>
      </c>
    </row>
    <row r="498" customFormat="false" ht="15" hidden="false" customHeight="false" outlineLevel="0" collapsed="false">
      <c r="C498" s="41" t="str">
        <f aca="false">IFERROR(VLOOKUP(B498,Pipeline!$A$2:$B$500,2,FALSE()),"")</f>
        <v/>
      </c>
    </row>
    <row r="499" customFormat="false" ht="15" hidden="false" customHeight="false" outlineLevel="0" collapsed="false">
      <c r="C499" s="41" t="str">
        <f aca="false">IFERROR(VLOOKUP(B499,Pipeline!$A$2:$B$500,2,FALSE()),"")</f>
        <v/>
      </c>
    </row>
  </sheetData>
  <dataValidations count="1">
    <dataValidation allowBlank="true" errorStyle="stop" operator="between" showDropDown="false" showErrorMessage="false" showInputMessage="false" sqref="D2:D500" type="list">
      <formula1>"Email,Appel,RDV,Démo,Diagnostic,Restitution,Engagement pilote,Chantier,Feedback,Autre"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5" min="2" style="0" width="22"/>
  </cols>
  <sheetData>
    <row r="2" customFormat="false" ht="15" hidden="false" customHeight="false" outlineLevel="0" collapsed="false">
      <c r="B2" s="22" t="s">
        <v>155</v>
      </c>
    </row>
    <row r="3" customFormat="false" ht="22.05" hidden="false" customHeight="false" outlineLevel="0" collapsed="false">
      <c r="B3" s="45" t="s">
        <v>156</v>
      </c>
    </row>
    <row r="4" customFormat="false" ht="15" hidden="false" customHeight="false" outlineLevel="0" collapsed="false">
      <c r="B4" s="46" t="s">
        <v>157</v>
      </c>
    </row>
    <row r="6" customFormat="false" ht="15" hidden="false" customHeight="false" outlineLevel="0" collapsed="false">
      <c r="B6" s="4" t="s">
        <v>158</v>
      </c>
    </row>
    <row r="8" customFormat="false" ht="27.75" hidden="false" customHeight="true" outlineLevel="0" collapsed="false">
      <c r="B8" s="12" t="s">
        <v>36</v>
      </c>
      <c r="C8" s="12" t="s">
        <v>159</v>
      </c>
      <c r="D8" s="12" t="s">
        <v>160</v>
      </c>
      <c r="E8" s="12" t="s">
        <v>161</v>
      </c>
    </row>
    <row r="9" customFormat="false" ht="15" hidden="false" customHeight="false" outlineLevel="0" collapsed="false">
      <c r="B9" s="41" t="s">
        <v>78</v>
      </c>
      <c r="C9" s="47" t="n">
        <f aca="false">COUNTIF(Pipeline!$J$2:$J$500,"1 · Identifié")</f>
        <v>1</v>
      </c>
      <c r="D9" s="48" t="n">
        <f aca="false">IFERROR(C9/$C$17,0)</f>
        <v>0.333333333333333</v>
      </c>
      <c r="E9" s="49" t="s">
        <v>162</v>
      </c>
    </row>
    <row r="10" customFormat="false" ht="15" hidden="false" customHeight="false" outlineLevel="0" collapsed="false">
      <c r="B10" s="50" t="s">
        <v>163</v>
      </c>
      <c r="C10" s="51" t="n">
        <f aca="false">COUNTIF(Pipeline!$J$2:$J$500,"2 · Contacté")</f>
        <v>0</v>
      </c>
      <c r="D10" s="52" t="n">
        <f aca="false">IFERROR(C10/$C$17,0)</f>
        <v>0</v>
      </c>
      <c r="E10" s="52" t="n">
        <f aca="false">IFERROR(C10/C9,0)</f>
        <v>0</v>
      </c>
    </row>
    <row r="11" customFormat="false" ht="15" hidden="false" customHeight="false" outlineLevel="0" collapsed="false">
      <c r="B11" s="41" t="s">
        <v>65</v>
      </c>
      <c r="C11" s="47" t="n">
        <f aca="false">COUNTIF(Pipeline!$J$2:$J$500,"3 · Intéressé")</f>
        <v>1</v>
      </c>
      <c r="D11" s="48" t="n">
        <f aca="false">IFERROR(C11/$C$17,0)</f>
        <v>0.333333333333333</v>
      </c>
      <c r="E11" s="48" t="n">
        <f aca="false">IFERROR(C11/C10,0)</f>
        <v>0</v>
      </c>
    </row>
    <row r="12" customFormat="false" ht="15" hidden="false" customHeight="false" outlineLevel="0" collapsed="false">
      <c r="B12" s="50" t="s">
        <v>164</v>
      </c>
      <c r="C12" s="51" t="n">
        <f aca="false">COUNTIF(Pipeline!$J$2:$J$500,"4 · Diagnostic complété")</f>
        <v>0</v>
      </c>
      <c r="D12" s="52" t="n">
        <f aca="false">IFERROR(C12/$C$17,0)</f>
        <v>0</v>
      </c>
      <c r="E12" s="52" t="n">
        <f aca="false">IFERROR(C12/C11,0)</f>
        <v>0</v>
      </c>
    </row>
    <row r="13" customFormat="false" ht="15" hidden="false" customHeight="false" outlineLevel="0" collapsed="false">
      <c r="B13" s="41" t="s">
        <v>52</v>
      </c>
      <c r="C13" s="47" t="n">
        <f aca="false">COUNTIF(Pipeline!$J$2:$J$500,"5 · Restitution faite")</f>
        <v>1</v>
      </c>
      <c r="D13" s="48" t="n">
        <f aca="false">IFERROR(C13/$C$17,0)</f>
        <v>0.333333333333333</v>
      </c>
      <c r="E13" s="48" t="n">
        <f aca="false">IFERROR(C13/C12,0)</f>
        <v>0</v>
      </c>
    </row>
    <row r="14" customFormat="false" ht="15" hidden="false" customHeight="false" outlineLevel="0" collapsed="false">
      <c r="B14" s="50" t="s">
        <v>165</v>
      </c>
      <c r="C14" s="51" t="n">
        <f aca="false">COUNTIF(Pipeline!$J$2:$J$500,"6 · Pilote engagé")</f>
        <v>0</v>
      </c>
      <c r="D14" s="52" t="n">
        <f aca="false">IFERROR(C14/$C$17,0)</f>
        <v>0</v>
      </c>
      <c r="E14" s="52" t="n">
        <f aca="false">IFERROR(C14/C13,0)</f>
        <v>0</v>
      </c>
    </row>
    <row r="15" customFormat="false" ht="15" hidden="false" customHeight="false" outlineLevel="0" collapsed="false">
      <c r="B15" s="41" t="s">
        <v>166</v>
      </c>
      <c r="C15" s="47" t="n">
        <f aca="false">COUNTIF(Pipeline!$J$2:$J$500,"7 · Chantier en cours")</f>
        <v>0</v>
      </c>
      <c r="D15" s="48" t="n">
        <f aca="false">IFERROR(C15/$C$17,0)</f>
        <v>0</v>
      </c>
      <c r="E15" s="48" t="n">
        <f aca="false">IFERROR(C15/C14,0)</f>
        <v>0</v>
      </c>
    </row>
    <row r="16" customFormat="false" ht="15" hidden="false" customHeight="false" outlineLevel="0" collapsed="false">
      <c r="B16" s="50" t="s">
        <v>167</v>
      </c>
      <c r="C16" s="51" t="n">
        <f aca="false">COUNTIF(Pipeline!$J$2:$J$500,"8 · Référence formalisée")</f>
        <v>0</v>
      </c>
      <c r="D16" s="52" t="n">
        <f aca="false">IFERROR(C16/$C$17,0)</f>
        <v>0</v>
      </c>
      <c r="E16" s="52" t="n">
        <f aca="false">IFERROR(C16/C15,0)</f>
        <v>0</v>
      </c>
    </row>
    <row r="17" customFormat="false" ht="15" hidden="false" customHeight="false" outlineLevel="0" collapsed="false">
      <c r="B17" s="53" t="s">
        <v>168</v>
      </c>
      <c r="C17" s="54" t="n">
        <f aca="false">SUM(C9:C16)</f>
        <v>3</v>
      </c>
      <c r="D17" s="55"/>
      <c r="E17" s="55"/>
    </row>
    <row r="20" customFormat="false" ht="15" hidden="false" customHeight="false" outlineLevel="0" collapsed="false">
      <c r="B20" s="4" t="s">
        <v>169</v>
      </c>
    </row>
    <row r="22" customFormat="false" ht="15" hidden="false" customHeight="false" outlineLevel="0" collapsed="false">
      <c r="B22" s="50" t="s">
        <v>170</v>
      </c>
      <c r="C22" s="56" t="n">
        <f aca="false">IFERROR(AVERAGE(Pipeline!K2:K500),"")</f>
        <v>65.3333333333333</v>
      </c>
    </row>
    <row r="23" customFormat="false" ht="15" hidden="false" customHeight="false" outlineLevel="0" collapsed="false">
      <c r="B23" s="41" t="s">
        <v>171</v>
      </c>
      <c r="C23" s="57" t="n">
        <f aca="false">IFERROR(MEDIAN(Pipeline!K2:K500),"")</f>
        <v>68</v>
      </c>
    </row>
    <row r="24" customFormat="false" ht="15" hidden="false" customHeight="false" outlineLevel="0" collapsed="false">
      <c r="B24" s="50" t="s">
        <v>172</v>
      </c>
      <c r="C24" s="56" t="n">
        <f aca="false">COUNTIF(Pipeline!K2:K500,"&gt;=70")</f>
        <v>1</v>
      </c>
    </row>
    <row r="25" customFormat="false" ht="15" hidden="false" customHeight="false" outlineLevel="0" collapsed="false">
      <c r="B25" s="41" t="s">
        <v>173</v>
      </c>
      <c r="C25" s="57" t="n">
        <f aca="false">COUNTIFS(Pipeline!K2:K500,"&gt;=50",Pipeline!K2:K500,"&lt;70")</f>
        <v>1</v>
      </c>
    </row>
    <row r="26" customFormat="false" ht="15" hidden="false" customHeight="false" outlineLevel="0" collapsed="false">
      <c r="B26" s="50" t="s">
        <v>174</v>
      </c>
      <c r="C26" s="56" t="n">
        <f aca="false">COUNTIFS(Pipeline!K2:K500,"&lt;50",Pipeline!K2:K500,"&gt;0")</f>
        <v>1</v>
      </c>
    </row>
    <row r="29" customFormat="false" ht="15" hidden="false" customHeight="false" outlineLevel="0" collapsed="false">
      <c r="B29" s="4" t="s">
        <v>175</v>
      </c>
    </row>
    <row r="31" customFormat="false" ht="15" hidden="false" customHeight="false" outlineLevel="0" collapsed="false">
      <c r="B31" s="41" t="s">
        <v>50</v>
      </c>
      <c r="C31" s="47" t="n">
        <f aca="false">COUNTIF(Pipeline!H2:H500,"URPS")</f>
        <v>1</v>
      </c>
      <c r="D31" s="48" t="n">
        <f aca="false">IFERROR(C31/SUM($C$31:$C$38),0)</f>
        <v>0.333333333333333</v>
      </c>
    </row>
    <row r="32" customFormat="false" ht="15" hidden="false" customHeight="false" outlineLevel="0" collapsed="false">
      <c r="B32" s="50" t="s">
        <v>63</v>
      </c>
      <c r="C32" s="51" t="n">
        <f aca="false">COUNTIF(Pipeline!H2:H500,"Parrainage")</f>
        <v>1</v>
      </c>
      <c r="D32" s="52" t="n">
        <f aca="false">IFERROR(C32/SUM($C$31:$C$38),0)</f>
        <v>0.333333333333333</v>
      </c>
    </row>
    <row r="33" customFormat="false" ht="15" hidden="false" customHeight="false" outlineLevel="0" collapsed="false">
      <c r="B33" s="41" t="s">
        <v>76</v>
      </c>
      <c r="C33" s="47" t="n">
        <f aca="false">COUNTIF(Pipeline!H2:H500,"Congrès")</f>
        <v>1</v>
      </c>
      <c r="D33" s="48" t="n">
        <f aca="false">IFERROR(C33/SUM($C$31:$C$38),0)</f>
        <v>0.333333333333333</v>
      </c>
    </row>
    <row r="34" customFormat="false" ht="15" hidden="false" customHeight="false" outlineLevel="0" collapsed="false">
      <c r="B34" s="50" t="s">
        <v>176</v>
      </c>
      <c r="C34" s="51" t="n">
        <f aca="false">COUNTIF(Pipeline!H2:H500,"LinkedIn")</f>
        <v>0</v>
      </c>
      <c r="D34" s="52" t="n">
        <f aca="false">IFERROR(C34/SUM($C$31:$C$38),0)</f>
        <v>0</v>
      </c>
    </row>
    <row r="35" customFormat="false" ht="15" hidden="false" customHeight="false" outlineLevel="0" collapsed="false">
      <c r="B35" s="41" t="s">
        <v>177</v>
      </c>
      <c r="C35" s="47" t="n">
        <f aca="false">COUNTIF(Pipeline!H2:H500,"Site web")</f>
        <v>0</v>
      </c>
      <c r="D35" s="48" t="n">
        <f aca="false">IFERROR(C35/SUM($C$31:$C$38),0)</f>
        <v>0</v>
      </c>
    </row>
    <row r="36" customFormat="false" ht="15" hidden="false" customHeight="false" outlineLevel="0" collapsed="false">
      <c r="B36" s="50" t="s">
        <v>178</v>
      </c>
      <c r="C36" s="51" t="n">
        <f aca="false">COUNTIF(Pipeline!H2:H500,"Contact direct")</f>
        <v>0</v>
      </c>
      <c r="D36" s="52" t="n">
        <f aca="false">IFERROR(C36/SUM($C$31:$C$38),0)</f>
        <v>0</v>
      </c>
    </row>
    <row r="37" customFormat="false" ht="15" hidden="false" customHeight="false" outlineLevel="0" collapsed="false">
      <c r="B37" s="41" t="s">
        <v>179</v>
      </c>
      <c r="C37" s="47" t="n">
        <f aca="false">COUNTIF(Pipeline!H2:H500,"Assureur RCP")</f>
        <v>0</v>
      </c>
      <c r="D37" s="48" t="n">
        <f aca="false">IFERROR(C37/SUM($C$31:$C$38),0)</f>
        <v>0</v>
      </c>
    </row>
    <row r="38" customFormat="false" ht="15" hidden="false" customHeight="false" outlineLevel="0" collapsed="false">
      <c r="B38" s="50" t="s">
        <v>180</v>
      </c>
      <c r="C38" s="51" t="n">
        <f aca="false">COUNTIF(Pipeline!H2:H500,"Autre")</f>
        <v>0</v>
      </c>
      <c r="D38" s="52" t="n">
        <f aca="false">IFERROR(C38/SUM($C$31:$C$38),0)</f>
        <v>0</v>
      </c>
    </row>
    <row r="41" customFormat="false" ht="15" hidden="false" customHeight="false" outlineLevel="0" collapsed="false">
      <c r="B41" s="4" t="s">
        <v>181</v>
      </c>
    </row>
    <row r="43" customFormat="false" ht="15" hidden="false" customHeight="false" outlineLevel="0" collapsed="false">
      <c r="B43" s="41" t="s">
        <v>73</v>
      </c>
      <c r="C43" s="47" t="n">
        <f aca="false">COUNTIF(Pipeline!E2:E500,"Solo")</f>
        <v>1</v>
      </c>
    </row>
    <row r="44" customFormat="false" ht="15" hidden="false" customHeight="false" outlineLevel="0" collapsed="false">
      <c r="B44" s="50" t="s">
        <v>47</v>
      </c>
      <c r="C44" s="51" t="n">
        <f aca="false">COUNTIF(Pipeline!E2:E500,"Groupe")</f>
        <v>1</v>
      </c>
    </row>
    <row r="45" customFormat="false" ht="15" hidden="false" customHeight="false" outlineLevel="0" collapsed="false">
      <c r="B45" s="41" t="s">
        <v>61</v>
      </c>
      <c r="C45" s="47" t="n">
        <f aca="false">COUNTIF(Pipeline!E2:E500,"MSP")</f>
        <v>1</v>
      </c>
    </row>
    <row r="46" customFormat="false" ht="15" hidden="false" customHeight="false" outlineLevel="0" collapsed="false">
      <c r="B46" s="50" t="s">
        <v>182</v>
      </c>
      <c r="C46" s="51" t="n">
        <f aca="false">COUNTIF(Pipeline!E2:E500,"CPTS")</f>
        <v>0</v>
      </c>
    </row>
    <row r="47" customFormat="false" ht="15" hidden="false" customHeight="false" outlineLevel="0" collapsed="false">
      <c r="B47" s="41" t="s">
        <v>183</v>
      </c>
      <c r="C47" s="47" t="n">
        <f aca="false">COUNTIF(Pipeline!E2:E500,"Salariat partiel")</f>
        <v>0</v>
      </c>
    </row>
    <row r="50" customFormat="false" ht="15" hidden="false" customHeight="true" outlineLevel="0" collapsed="false">
      <c r="B50" s="58" t="s">
        <v>184</v>
      </c>
      <c r="C50" s="58"/>
      <c r="D50" s="58"/>
      <c r="E50" s="58"/>
    </row>
    <row r="51" customFormat="false" ht="15" hidden="false" customHeight="false" outlineLevel="0" collapsed="false">
      <c r="B51" s="58"/>
      <c r="C51" s="58"/>
      <c r="D51" s="58"/>
      <c r="E51" s="58"/>
    </row>
    <row r="52" customFormat="false" ht="15" hidden="false" customHeight="false" outlineLevel="0" collapsed="false">
      <c r="B52" s="58"/>
      <c r="C52" s="58"/>
      <c r="D52" s="58"/>
      <c r="E52" s="58"/>
    </row>
  </sheetData>
  <mergeCells count="1">
    <mergeCell ref="B50:E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2026-05-28T17:28:37Z</dcterms:created>
  <dc:creator>openpyxl</dc:creator>
  <dc:description/>
  <dc:language>en-US</dc:language>
  <cp:lastModifiedBy/>
  <dcterms:modified xsi:type="dcterms:W3CDTF">2026-05-28T17:28:37Z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